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rket_Analysis" sheetId="2" state="visible" r:id="rId2"/>
    <sheet xmlns:r="http://schemas.openxmlformats.org/officeDocument/2006/relationships" name="Hourly_Demand_Supply" sheetId="3" state="visible" r:id="rId3"/>
    <sheet xmlns:r="http://schemas.openxmlformats.org/officeDocument/2006/relationships" name="Sample_Orders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B5563"/>
      <sz val="10"/>
    </font>
    <font>
      <name val="Calibri"/>
      <b val="1"/>
      <color rgb="004B5563"/>
      <sz val="9"/>
    </font>
    <font>
      <name val="Calibri"/>
      <b val="1"/>
      <color rgb="00047857"/>
      <sz val="15"/>
    </font>
    <font>
      <name val="Calibri"/>
      <b val="1"/>
      <color rgb="00B91C1C"/>
      <sz val="15"/>
    </font>
    <font>
      <name val="Calibri"/>
      <b val="1"/>
      <color rgb="00C2410C"/>
      <sz val="15"/>
    </font>
    <font>
      <name val="Calibri"/>
      <b val="1"/>
      <color rgb="00991B1B"/>
      <sz val="15"/>
    </font>
    <font>
      <name val="Calibri"/>
      <b val="1"/>
      <color rgb="001F2937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E3A8A"/>
      <sz val="14"/>
    </font>
    <font>
      <name val="Calibri"/>
      <b val="1"/>
      <color rgb="00991B1B"/>
      <sz val="9"/>
    </font>
    <font>
      <name val="Calibri"/>
      <b val="1"/>
      <color rgb="0092400E"/>
      <sz val="9"/>
    </font>
    <font>
      <name val="Calibri"/>
      <b val="1"/>
      <color rgb="00065F46"/>
      <sz val="9"/>
    </font>
    <font>
      <name val="Calibri"/>
      <b val="1"/>
      <sz val="9"/>
    </font>
    <font>
      <name val="Calibri"/>
      <color rgb="00065F46"/>
      <sz val="9"/>
    </font>
    <font>
      <name val="Calibr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/>
      <bottom style="double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1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164" fontId="15" fillId="0" borderId="2" applyAlignment="1" pivotButton="0" quotePrefix="0" xfId="0">
      <alignment horizontal="center" vertical="center"/>
    </xf>
    <xf numFmtId="3" fontId="15" fillId="0" borderId="2" applyAlignment="1" pivotButton="0" quotePrefix="0" xfId="0">
      <alignment horizontal="center" vertical="center"/>
    </xf>
    <xf numFmtId="165" fontId="15" fillId="0" borderId="2" applyAlignment="1" pivotButton="0" quotePrefix="0" xfId="0">
      <alignment horizontal="center" vertical="center"/>
    </xf>
    <xf numFmtId="2" fontId="15" fillId="0" borderId="2" applyAlignment="1" pivotButton="0" quotePrefix="0" xfId="0">
      <alignment horizontal="center" vertical="center"/>
    </xf>
    <xf numFmtId="0" fontId="16" fillId="2" borderId="0" pivotButton="0" quotePrefix="0" xfId="0"/>
    <xf numFmtId="0" fontId="13" fillId="7" borderId="0" pivotButton="0" quotePrefix="0" xfId="0"/>
    <xf numFmtId="0" fontId="12" fillId="3" borderId="0" pivotButton="0" quotePrefix="0" xfId="0"/>
    <xf numFmtId="0" fontId="1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Delivery Time vs Benchmark across Markets (Minutes)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'Market_Analysis'!E4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'Market_Analysis'!$B$5:$B$10</f>
            </numRef>
          </cat>
          <val>
            <numRef>
              <f>'Market_Analysis'!$E$5:$E$10</f>
            </numRef>
          </val>
        </ser>
        <ser>
          <idx val="1"/>
          <order val="1"/>
          <tx>
            <strRef>
              <f>'Market_Analysis'!F4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'Market_Analysis'!$B$5:$B$10</f>
            </numRef>
          </cat>
          <val>
            <numRef>
              <f>'Market_Analysis'!$F$5:$F$10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33" customWidth="1" min="3" max="3"/>
    <col width="69" customWidth="1" min="4" max="4"/>
    <col width="57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>
      <c r="B2" s="1" t="inlineStr">
        <is>
          <t>PORTER DELIVERY TIME OPTIMIZATION &amp; LATENCY ANALYSIS</t>
        </is>
      </c>
    </row>
    <row r="3">
      <c r="B3" s="2" t="inlineStr">
        <is>
          <t>Executive Diagnostics: 175,777 Delivery Records across 6 Metro Markets | Target vs Actual Performance</t>
        </is>
      </c>
    </row>
    <row r="4"/>
    <row r="5">
      <c r="B5" s="3" t="inlineStr">
        <is>
          <t>Target Benchmark</t>
        </is>
      </c>
      <c r="D5" s="4" t="inlineStr">
        <is>
          <t>Average Delivery Time</t>
        </is>
      </c>
      <c r="F5" s="5" t="inlineStr">
        <is>
          <t>Expectation Deficit Gap</t>
        </is>
      </c>
      <c r="H5" s="4" t="inlineStr">
        <is>
          <t>SLA Breach Rate (&gt;15m)</t>
        </is>
      </c>
    </row>
    <row r="6">
      <c r="B6" s="6" t="inlineStr">
        <is>
          <t>32.0 mins</t>
        </is>
      </c>
      <c r="D6" s="7" t="inlineStr">
        <is>
          <t>48.6 mins</t>
        </is>
      </c>
      <c r="F6" s="8" t="inlineStr">
        <is>
          <t>+16.6 mins</t>
        </is>
      </c>
      <c r="H6" s="9" t="inlineStr">
        <is>
          <t>38.4%</t>
        </is>
      </c>
    </row>
    <row r="7"/>
    <row r="8">
      <c r="B8" s="10" t="inlineStr">
        <is>
          <t>CORE OPERATIONAL BOTTLENECK DIAGNOSTICS</t>
        </is>
      </c>
    </row>
    <row r="9">
      <c r="B9" s="11" t="inlineStr">
        <is>
          <t>Bottleneck Area</t>
        </is>
      </c>
      <c r="C9" s="11" t="inlineStr">
        <is>
          <t>Primary Metric / Impact</t>
        </is>
      </c>
      <c r="D9" s="11" t="inlineStr">
        <is>
          <t>Operational Root Cause</t>
        </is>
      </c>
      <c r="E9" s="11" t="inlineStr">
        <is>
          <t>Recommended Strategic Action</t>
        </is>
      </c>
    </row>
    <row r="10">
      <c r="B10" s="12" t="inlineStr">
        <is>
          <t>Kitchen Preparation Delays</t>
        </is>
      </c>
      <c r="C10" s="12" t="inlineStr">
        <is>
          <t>54% of Total Delivery Variance</t>
        </is>
      </c>
      <c r="D10" s="12" t="inlineStr">
        <is>
          <t>Complex cuisines (Indian/Italian) &amp; orders &gt;4 items avg 26.8m prep</t>
        </is>
      </c>
      <c r="E10" s="12" t="inlineStr">
        <is>
          <t>Staged JIT Dispatch &amp; Tablet SLA Confirmations</t>
        </is>
      </c>
    </row>
    <row r="11">
      <c r="B11" s="13" t="inlineStr">
        <is>
          <t>Fleet Supply Starvation</t>
        </is>
      </c>
      <c r="C11" s="13" t="inlineStr">
        <is>
          <t>Peak Busy Dasher Ratio &gt;88%</t>
        </is>
      </c>
      <c r="D11" s="13" t="inlineStr">
        <is>
          <t>Lunch (12-2 PM) &amp; Dinner (7-10 PM) driver shortages, 2.5x backlog</t>
        </is>
      </c>
      <c r="E11" s="13" t="inlineStr">
        <is>
          <t>Dynamic Geofenced Surge Pay &amp; 30m Pre-rebalancing</t>
        </is>
      </c>
    </row>
    <row r="12">
      <c r="B12" s="12" t="inlineStr">
        <is>
          <t>Protocol &amp; Transit Friction</t>
        </is>
      </c>
      <c r="C12" s="12" t="inlineStr">
        <is>
          <t>+13.4 mins on Manual Protocols</t>
        </is>
      </c>
      <c r="D12" s="12" t="inlineStr">
        <is>
          <t>Legacy Code 3/4 call-in dispatch queues &amp; CBD peak traffic jams</t>
        </is>
      </c>
      <c r="E12" s="12" t="inlineStr">
        <is>
          <t>Direct POS API integration &amp; Neural Traffic ETA Engine</t>
        </is>
      </c>
    </row>
    <row r="13">
      <c r="B13" s="13" t="inlineStr">
        <is>
          <t>Driver Counter Burnout</t>
        </is>
      </c>
      <c r="C13" s="13" t="inlineStr">
        <is>
          <t>28% Loss in Hourly Earnings</t>
        </is>
      </c>
      <c r="D13" s="13" t="inlineStr">
        <is>
          <t>Uncompensated merchant counter idle times causing dinner log-offs</t>
        </is>
      </c>
      <c r="E13" s="13" t="inlineStr">
        <is>
          <t>Merchant penalties &gt;12m wait &amp; wait compensation</t>
        </is>
      </c>
    </row>
  </sheetData>
  <mergeCells count="10">
    <mergeCell ref="D6:E6"/>
    <mergeCell ref="B6:C6"/>
    <mergeCell ref="H6:I6"/>
    <mergeCell ref="B5:C5"/>
    <mergeCell ref="B2:I2"/>
    <mergeCell ref="F5:G5"/>
    <mergeCell ref="D5:E5"/>
    <mergeCell ref="B3:I3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18" customWidth="1" min="3" max="3"/>
    <col width="15" customWidth="1" min="4" max="4"/>
    <col width="21" customWidth="1" min="5" max="5"/>
    <col width="25" customWidth="1" min="6" max="6"/>
    <col width="25" customWidth="1" min="7" max="7"/>
    <col width="23" customWidth="1" min="8" max="8"/>
    <col width="24" customWidth="1" min="9" max="9"/>
  </cols>
  <sheetData>
    <row r="1"/>
    <row r="2">
      <c r="B2" s="14" t="inlineStr">
        <is>
          <t>MARKET PERFORMANCE &amp; SLA RISK MATRIX</t>
        </is>
      </c>
    </row>
    <row r="3"/>
    <row r="4">
      <c r="B4" s="15" t="inlineStr">
        <is>
          <t>Market Segment</t>
        </is>
      </c>
      <c r="C4" s="15" t="inlineStr">
        <is>
          <t>Order Share (%)</t>
        </is>
      </c>
      <c r="D4" s="15" t="inlineStr">
        <is>
          <t>Total Orders</t>
        </is>
      </c>
      <c r="E4" s="15" t="inlineStr">
        <is>
          <t>Avg Delivery (min)</t>
        </is>
      </c>
      <c r="F4" s="15" t="inlineStr">
        <is>
          <t>Target Benchmark (min)</t>
        </is>
      </c>
      <c r="G4" s="15" t="inlineStr">
        <is>
          <t>Latency Variance (min)</t>
        </is>
      </c>
      <c r="H4" s="15" t="inlineStr">
        <is>
          <t>Dasher Deficit Ratio</t>
        </is>
      </c>
      <c r="I4" s="15" t="inlineStr">
        <is>
          <t>SLA Risk Status</t>
        </is>
      </c>
    </row>
    <row r="5">
      <c r="B5" s="16" t="inlineStr">
        <is>
          <t>Market 2 – Fast Food &amp; Pizza</t>
        </is>
      </c>
      <c r="C5" s="17" t="n">
        <v>0.284</v>
      </c>
      <c r="D5" s="18">
        <f>C5*$D$11</f>
        <v/>
      </c>
      <c r="E5" s="19" t="n">
        <v>53.2</v>
      </c>
      <c r="F5" s="19" t="n">
        <v>32</v>
      </c>
      <c r="G5" s="19">
        <f>E5-F5</f>
        <v/>
      </c>
      <c r="H5" s="20" t="n">
        <v>1.84</v>
      </c>
      <c r="I5" s="21" t="inlineStr">
        <is>
          <t>Critical</t>
        </is>
      </c>
    </row>
    <row r="6">
      <c r="B6" s="16" t="inlineStr">
        <is>
          <t>Market 4 – Casual Dine-in</t>
        </is>
      </c>
      <c r="C6" s="17" t="n">
        <v>0.186</v>
      </c>
      <c r="D6" s="18">
        <f>C6*$D$11</f>
        <v/>
      </c>
      <c r="E6" s="19" t="n">
        <v>49.8</v>
      </c>
      <c r="F6" s="19" t="n">
        <v>32</v>
      </c>
      <c r="G6" s="19">
        <f>E6-F6</f>
        <v/>
      </c>
      <c r="H6" s="20" t="n">
        <v>1.62</v>
      </c>
      <c r="I6" s="21" t="inlineStr">
        <is>
          <t>Critical</t>
        </is>
      </c>
    </row>
    <row r="7">
      <c r="B7" s="16" t="inlineStr">
        <is>
          <t>Market 1 – Mixed Retail</t>
        </is>
      </c>
      <c r="C7" s="17" t="n">
        <v>0.241</v>
      </c>
      <c r="D7" s="18">
        <f>C7*$D$11</f>
        <v/>
      </c>
      <c r="E7" s="19" t="n">
        <v>45.1</v>
      </c>
      <c r="F7" s="19" t="n">
        <v>32</v>
      </c>
      <c r="G7" s="19">
        <f>E7-F7</f>
        <v/>
      </c>
      <c r="H7" s="20" t="n">
        <v>1.18</v>
      </c>
      <c r="I7" s="22" t="inlineStr">
        <is>
          <t>High</t>
        </is>
      </c>
    </row>
    <row r="8">
      <c r="B8" s="16" t="inlineStr">
        <is>
          <t>Market 3 – Stable Core</t>
        </is>
      </c>
      <c r="C8" s="17" t="n">
        <v>0.165</v>
      </c>
      <c r="D8" s="18">
        <f>C8*$D$11</f>
        <v/>
      </c>
      <c r="E8" s="19" t="n">
        <v>41.4</v>
      </c>
      <c r="F8" s="19" t="n">
        <v>32</v>
      </c>
      <c r="G8" s="19">
        <f>E8-F8</f>
        <v/>
      </c>
      <c r="H8" s="20" t="n">
        <v>1.05</v>
      </c>
      <c r="I8" s="23" t="inlineStr">
        <is>
          <t>Moderate</t>
        </is>
      </c>
    </row>
    <row r="9">
      <c r="B9" s="16" t="inlineStr">
        <is>
          <t>Market 5 – Emerging Outer Rim</t>
        </is>
      </c>
      <c r="C9" s="17" t="n">
        <v>0.07199999999999999</v>
      </c>
      <c r="D9" s="18">
        <f>C9*$D$11</f>
        <v/>
      </c>
      <c r="E9" s="19" t="n">
        <v>43.8</v>
      </c>
      <c r="F9" s="19" t="n">
        <v>32</v>
      </c>
      <c r="G9" s="19">
        <f>E9-F9</f>
        <v/>
      </c>
      <c r="H9" s="20" t="n">
        <v>1.12</v>
      </c>
      <c r="I9" s="23" t="inlineStr">
        <is>
          <t>Moderate</t>
        </is>
      </c>
    </row>
    <row r="10">
      <c r="B10" s="16" t="inlineStr">
        <is>
          <t>Market 6 – Business District</t>
        </is>
      </c>
      <c r="C10" s="17" t="n">
        <v>0.052</v>
      </c>
      <c r="D10" s="18">
        <f>C10*$D$11</f>
        <v/>
      </c>
      <c r="E10" s="19" t="n">
        <v>44.5</v>
      </c>
      <c r="F10" s="19" t="n">
        <v>32</v>
      </c>
      <c r="G10" s="19">
        <f>E10-F10</f>
        <v/>
      </c>
      <c r="H10" s="20" t="n">
        <v>1.25</v>
      </c>
      <c r="I10" s="22" t="inlineStr">
        <is>
          <t>High</t>
        </is>
      </c>
    </row>
    <row r="11">
      <c r="B11" s="24" t="inlineStr">
        <is>
          <t>Total / Company Average</t>
        </is>
      </c>
      <c r="C11" s="25">
        <f>SUM(C5:C10)</f>
        <v/>
      </c>
      <c r="D11" s="26" t="n">
        <v>175777</v>
      </c>
      <c r="E11" s="27">
        <f>AVERAGE(E5:E10)</f>
        <v/>
      </c>
      <c r="F11" s="27" t="n">
        <v>32</v>
      </c>
      <c r="G11" s="27">
        <f>E11-F11</f>
        <v/>
      </c>
      <c r="H11" s="28">
        <f>AVERAGE(H5:H10)</f>
        <v/>
      </c>
      <c r="I11" s="24" t="inlineStr">
        <is>
          <t>Overall Latency Alert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0" customWidth="1" min="2" max="2"/>
    <col width="20" customWidth="1" min="3" max="3"/>
    <col width="26" customWidth="1" min="4" max="4"/>
    <col width="15" customWidth="1" min="5" max="5"/>
    <col width="23" customWidth="1" min="6" max="6"/>
    <col width="16" customWidth="1" min="7" max="7"/>
    <col width="25" customWidth="1" min="8" max="8"/>
    <col width="19" customWidth="1" min="9" max="9"/>
  </cols>
  <sheetData>
    <row r="1"/>
    <row r="2">
      <c r="B2" s="14" t="inlineStr">
        <is>
          <t>HOURLY FLEET UTILIZATION, BACKLOG &amp; DISPATCH LAG ANALYSIS</t>
        </is>
      </c>
    </row>
    <row r="3"/>
    <row r="4">
      <c r="B4" s="15" t="inlineStr">
        <is>
          <t>Hour of Day</t>
        </is>
      </c>
      <c r="C4" s="15" t="inlineStr">
        <is>
          <t>Avg Hourly Orders</t>
        </is>
      </c>
      <c r="D4" s="15" t="inlineStr">
        <is>
          <t>Active On-Shift Dashers</t>
        </is>
      </c>
      <c r="E4" s="15" t="inlineStr">
        <is>
          <t>Busy Dashers</t>
        </is>
      </c>
      <c r="F4" s="15" t="inlineStr">
        <is>
          <t>Dasher Utilization %</t>
        </is>
      </c>
      <c r="G4" s="15" t="inlineStr">
        <is>
          <t>Order Backlog</t>
        </is>
      </c>
      <c r="H4" s="15" t="inlineStr">
        <is>
          <t>Avg Dispatch Lag (min)</t>
        </is>
      </c>
      <c r="I4" s="15" t="inlineStr">
        <is>
          <t>Peak Status</t>
        </is>
      </c>
    </row>
    <row r="5">
      <c r="B5" s="16" t="inlineStr">
        <is>
          <t>00:00 - 01:00</t>
        </is>
      </c>
      <c r="C5" s="18" t="n">
        <v>182</v>
      </c>
      <c r="D5" s="18" t="n">
        <v>292</v>
      </c>
      <c r="E5" s="18" t="n">
        <v>71</v>
      </c>
      <c r="F5" s="17">
        <f>E5/D5</f>
        <v/>
      </c>
      <c r="G5" s="18" t="n">
        <v>0</v>
      </c>
      <c r="H5" s="19" t="n">
        <v>4.4</v>
      </c>
      <c r="I5" s="29" t="inlineStr">
        <is>
          <t>Off-Peak Calm</t>
        </is>
      </c>
    </row>
    <row r="6">
      <c r="B6" s="16" t="inlineStr">
        <is>
          <t>01:00 - 02:00</t>
        </is>
      </c>
      <c r="C6" s="18" t="n">
        <v>100</v>
      </c>
      <c r="D6" s="18" t="n">
        <v>302</v>
      </c>
      <c r="E6" s="18" t="n">
        <v>94</v>
      </c>
      <c r="F6" s="17">
        <f>E6/D6</f>
        <v/>
      </c>
      <c r="G6" s="18" t="n">
        <v>0</v>
      </c>
      <c r="H6" s="19" t="n">
        <v>3.2</v>
      </c>
      <c r="I6" s="29" t="inlineStr">
        <is>
          <t>Off-Peak Calm</t>
        </is>
      </c>
    </row>
    <row r="7">
      <c r="B7" s="16" t="inlineStr">
        <is>
          <t>02:00 - 03:00</t>
        </is>
      </c>
      <c r="C7" s="18" t="n">
        <v>167</v>
      </c>
      <c r="D7" s="18" t="n">
        <v>316</v>
      </c>
      <c r="E7" s="18" t="n">
        <v>110</v>
      </c>
      <c r="F7" s="17">
        <f>E7/D7</f>
        <v/>
      </c>
      <c r="G7" s="18" t="n">
        <v>0</v>
      </c>
      <c r="H7" s="19" t="n">
        <v>4.3</v>
      </c>
      <c r="I7" s="29" t="inlineStr">
        <is>
          <t>Off-Peak Calm</t>
        </is>
      </c>
    </row>
    <row r="8">
      <c r="B8" s="16" t="inlineStr">
        <is>
          <t>03:00 - 04:00</t>
        </is>
      </c>
      <c r="C8" s="18" t="n">
        <v>229</v>
      </c>
      <c r="D8" s="18" t="n">
        <v>252</v>
      </c>
      <c r="E8" s="18" t="n">
        <v>111</v>
      </c>
      <c r="F8" s="17">
        <f>E8/D8</f>
        <v/>
      </c>
      <c r="G8" s="18" t="n">
        <v>88</v>
      </c>
      <c r="H8" s="19" t="n">
        <v>4.5</v>
      </c>
      <c r="I8" s="29" t="inlineStr">
        <is>
          <t>Off-Peak Calm</t>
        </is>
      </c>
    </row>
    <row r="9">
      <c r="B9" s="16" t="inlineStr">
        <is>
          <t>04:00 - 05:00</t>
        </is>
      </c>
      <c r="C9" s="18" t="n">
        <v>117</v>
      </c>
      <c r="D9" s="18" t="n">
        <v>329</v>
      </c>
      <c r="E9" s="18" t="n">
        <v>80</v>
      </c>
      <c r="F9" s="17">
        <f>E9/D9</f>
        <v/>
      </c>
      <c r="G9" s="18" t="n">
        <v>0</v>
      </c>
      <c r="H9" s="19" t="n">
        <v>3.3</v>
      </c>
      <c r="I9" s="29" t="inlineStr">
        <is>
          <t>Off-Peak Calm</t>
        </is>
      </c>
    </row>
    <row r="10">
      <c r="B10" s="16" t="inlineStr">
        <is>
          <t>05:00 - 06:00</t>
        </is>
      </c>
      <c r="C10" s="18" t="n">
        <v>137</v>
      </c>
      <c r="D10" s="18" t="n">
        <v>221</v>
      </c>
      <c r="E10" s="18" t="n">
        <v>44</v>
      </c>
      <c r="F10" s="17">
        <f>E10/D10</f>
        <v/>
      </c>
      <c r="G10" s="18" t="n">
        <v>0</v>
      </c>
      <c r="H10" s="19" t="n">
        <v>3</v>
      </c>
      <c r="I10" s="29" t="inlineStr">
        <is>
          <t>Off-Peak Calm</t>
        </is>
      </c>
    </row>
    <row r="11">
      <c r="B11" s="16" t="inlineStr">
        <is>
          <t>06:00 - 07:00</t>
        </is>
      </c>
      <c r="C11" s="18" t="n">
        <v>138</v>
      </c>
      <c r="D11" s="18" t="n">
        <v>214</v>
      </c>
      <c r="E11" s="18" t="n">
        <v>67</v>
      </c>
      <c r="F11" s="17">
        <f>E11/D11</f>
        <v/>
      </c>
      <c r="G11" s="18" t="n">
        <v>0</v>
      </c>
      <c r="H11" s="19" t="n">
        <v>4.4</v>
      </c>
      <c r="I11" s="29" t="inlineStr">
        <is>
          <t>Off-Peak Calm</t>
        </is>
      </c>
    </row>
    <row r="12">
      <c r="B12" s="16" t="inlineStr">
        <is>
          <t>07:00 - 08:00</t>
        </is>
      </c>
      <c r="C12" s="18" t="n">
        <v>130</v>
      </c>
      <c r="D12" s="18" t="n">
        <v>307</v>
      </c>
      <c r="E12" s="18" t="n">
        <v>100</v>
      </c>
      <c r="F12" s="17">
        <f>E12/D12</f>
        <v/>
      </c>
      <c r="G12" s="18" t="n">
        <v>0</v>
      </c>
      <c r="H12" s="19" t="n">
        <v>4.1</v>
      </c>
      <c r="I12" s="29" t="inlineStr">
        <is>
          <t>Off-Peak Calm</t>
        </is>
      </c>
    </row>
    <row r="13">
      <c r="B13" s="16" t="inlineStr">
        <is>
          <t>08:00 - 09:00</t>
        </is>
      </c>
      <c r="C13" s="18" t="n">
        <v>530</v>
      </c>
      <c r="D13" s="18" t="n">
        <v>500</v>
      </c>
      <c r="E13" s="18" t="n">
        <v>343</v>
      </c>
      <c r="F13" s="17">
        <f>E13/D13</f>
        <v/>
      </c>
      <c r="G13" s="18" t="n">
        <v>373</v>
      </c>
      <c r="H13" s="19" t="n">
        <v>6.9</v>
      </c>
      <c r="I13" s="30" t="inlineStr">
        <is>
          <t>Moderate Normal</t>
        </is>
      </c>
    </row>
    <row r="14">
      <c r="B14" s="16" t="inlineStr">
        <is>
          <t>09:00 - 10:00</t>
        </is>
      </c>
      <c r="C14" s="18" t="n">
        <v>673</v>
      </c>
      <c r="D14" s="18" t="n">
        <v>581</v>
      </c>
      <c r="E14" s="18" t="n">
        <v>429</v>
      </c>
      <c r="F14" s="17">
        <f>E14/D14</f>
        <v/>
      </c>
      <c r="G14" s="18" t="n">
        <v>521</v>
      </c>
      <c r="H14" s="19" t="n">
        <v>7.2</v>
      </c>
      <c r="I14" s="30" t="inlineStr">
        <is>
          <t>Moderate Normal</t>
        </is>
      </c>
    </row>
    <row r="15">
      <c r="B15" s="16" t="inlineStr">
        <is>
          <t>10:00 - 11:00</t>
        </is>
      </c>
      <c r="C15" s="18" t="n">
        <v>664</v>
      </c>
      <c r="D15" s="18" t="n">
        <v>539</v>
      </c>
      <c r="E15" s="18" t="n">
        <v>306</v>
      </c>
      <c r="F15" s="17">
        <f>E15/D15</f>
        <v/>
      </c>
      <c r="G15" s="18" t="n">
        <v>431</v>
      </c>
      <c r="H15" s="19" t="n">
        <v>7.6</v>
      </c>
      <c r="I15" s="30" t="inlineStr">
        <is>
          <t>Moderate Normal</t>
        </is>
      </c>
    </row>
    <row r="16">
      <c r="B16" s="16" t="inlineStr">
        <is>
          <t>11:00 - 12:00</t>
        </is>
      </c>
      <c r="C16" s="18" t="n">
        <v>663</v>
      </c>
      <c r="D16" s="18" t="n">
        <v>484</v>
      </c>
      <c r="E16" s="18" t="n">
        <v>354</v>
      </c>
      <c r="F16" s="17">
        <f>E16/D16</f>
        <v/>
      </c>
      <c r="G16" s="18" t="n">
        <v>533</v>
      </c>
      <c r="H16" s="19" t="n">
        <v>6.3</v>
      </c>
      <c r="I16" s="30" t="inlineStr">
        <is>
          <t>Moderate Normal</t>
        </is>
      </c>
    </row>
    <row r="17">
      <c r="B17" s="16" t="inlineStr">
        <is>
          <t>12:00 - 13:00</t>
        </is>
      </c>
      <c r="C17" s="18" t="n">
        <v>1053</v>
      </c>
      <c r="D17" s="18" t="n">
        <v>603</v>
      </c>
      <c r="E17" s="18" t="n">
        <v>541</v>
      </c>
      <c r="F17" s="17">
        <f>E17/D17</f>
        <v/>
      </c>
      <c r="G17" s="18" t="n">
        <v>991</v>
      </c>
      <c r="H17" s="19" t="n">
        <v>16.4</v>
      </c>
      <c r="I17" s="31" t="inlineStr">
        <is>
          <t>Lunch Peak Rush</t>
        </is>
      </c>
    </row>
    <row r="18">
      <c r="B18" s="16" t="inlineStr">
        <is>
          <t>13:00 - 14:00</t>
        </is>
      </c>
      <c r="C18" s="18" t="n">
        <v>1055</v>
      </c>
      <c r="D18" s="18" t="n">
        <v>603</v>
      </c>
      <c r="E18" s="18" t="n">
        <v>537</v>
      </c>
      <c r="F18" s="17">
        <f>E18/D18</f>
        <v/>
      </c>
      <c r="G18" s="18" t="n">
        <v>989</v>
      </c>
      <c r="H18" s="19" t="n">
        <v>18.1</v>
      </c>
      <c r="I18" s="31" t="inlineStr">
        <is>
          <t>Lunch Peak Rush</t>
        </is>
      </c>
    </row>
    <row r="19">
      <c r="B19" s="16" t="inlineStr">
        <is>
          <t>14:00 - 15:00</t>
        </is>
      </c>
      <c r="C19" s="18" t="n">
        <v>1167</v>
      </c>
      <c r="D19" s="18" t="n">
        <v>643</v>
      </c>
      <c r="E19" s="18" t="n">
        <v>602</v>
      </c>
      <c r="F19" s="17">
        <f>E19/D19</f>
        <v/>
      </c>
      <c r="G19" s="18" t="n">
        <v>1126</v>
      </c>
      <c r="H19" s="19" t="n">
        <v>17.8</v>
      </c>
      <c r="I19" s="31" t="inlineStr">
        <is>
          <t>Lunch Peak Rush</t>
        </is>
      </c>
    </row>
    <row r="20">
      <c r="B20" s="16" t="inlineStr">
        <is>
          <t>15:00 - 16:00</t>
        </is>
      </c>
      <c r="C20" s="18" t="n">
        <v>669</v>
      </c>
      <c r="D20" s="18" t="n">
        <v>544</v>
      </c>
      <c r="E20" s="18" t="n">
        <v>399</v>
      </c>
      <c r="F20" s="17">
        <f>E20/D20</f>
        <v/>
      </c>
      <c r="G20" s="18" t="n">
        <v>524</v>
      </c>
      <c r="H20" s="19" t="n">
        <v>5.8</v>
      </c>
      <c r="I20" s="30" t="inlineStr">
        <is>
          <t>Moderate Normal</t>
        </is>
      </c>
    </row>
    <row r="21">
      <c r="B21" s="16" t="inlineStr">
        <is>
          <t>16:00 - 17:00</t>
        </is>
      </c>
      <c r="C21" s="18" t="n">
        <v>614</v>
      </c>
      <c r="D21" s="18" t="n">
        <v>489</v>
      </c>
      <c r="E21" s="18" t="n">
        <v>351</v>
      </c>
      <c r="F21" s="17">
        <f>E21/D21</f>
        <v/>
      </c>
      <c r="G21" s="18" t="n">
        <v>476</v>
      </c>
      <c r="H21" s="19" t="n">
        <v>7.7</v>
      </c>
      <c r="I21" s="30" t="inlineStr">
        <is>
          <t>Moderate Normal</t>
        </is>
      </c>
    </row>
    <row r="22">
      <c r="B22" s="16" t="inlineStr">
        <is>
          <t>17:00 - 18:00</t>
        </is>
      </c>
      <c r="C22" s="18" t="n">
        <v>452</v>
      </c>
      <c r="D22" s="18" t="n">
        <v>473</v>
      </c>
      <c r="E22" s="18" t="n">
        <v>293</v>
      </c>
      <c r="F22" s="17">
        <f>E22/D22</f>
        <v/>
      </c>
      <c r="G22" s="18" t="n">
        <v>272</v>
      </c>
      <c r="H22" s="19" t="n">
        <v>6.3</v>
      </c>
      <c r="I22" s="30" t="inlineStr">
        <is>
          <t>Moderate Normal</t>
        </is>
      </c>
    </row>
    <row r="23">
      <c r="B23" s="16" t="inlineStr">
        <is>
          <t>18:00 - 19:00</t>
        </is>
      </c>
      <c r="C23" s="18" t="n">
        <v>440</v>
      </c>
      <c r="D23" s="18" t="n">
        <v>464</v>
      </c>
      <c r="E23" s="18" t="n">
        <v>270</v>
      </c>
      <c r="F23" s="17">
        <f>E23/D23</f>
        <v/>
      </c>
      <c r="G23" s="18" t="n">
        <v>246</v>
      </c>
      <c r="H23" s="19" t="n">
        <v>5.5</v>
      </c>
      <c r="I23" s="30" t="inlineStr">
        <is>
          <t>Moderate Normal</t>
        </is>
      </c>
    </row>
    <row r="24">
      <c r="B24" s="16" t="inlineStr">
        <is>
          <t>19:00 - 20:00</t>
        </is>
      </c>
      <c r="C24" s="18" t="n">
        <v>1108</v>
      </c>
      <c r="D24" s="18" t="n">
        <v>737</v>
      </c>
      <c r="E24" s="18" t="n">
        <v>676</v>
      </c>
      <c r="F24" s="17">
        <f>E24/D24</f>
        <v/>
      </c>
      <c r="G24" s="18" t="n">
        <v>1047</v>
      </c>
      <c r="H24" s="19" t="n">
        <v>17</v>
      </c>
      <c r="I24" s="31" t="inlineStr">
        <is>
          <t>Dinner Peak Rush</t>
        </is>
      </c>
    </row>
    <row r="25">
      <c r="B25" s="16" t="inlineStr">
        <is>
          <t>20:00 - 21:00</t>
        </is>
      </c>
      <c r="C25" s="18" t="n">
        <v>1162</v>
      </c>
      <c r="D25" s="18" t="n">
        <v>660</v>
      </c>
      <c r="E25" s="18" t="n">
        <v>596</v>
      </c>
      <c r="F25" s="17">
        <f>E25/D25</f>
        <v/>
      </c>
      <c r="G25" s="18" t="n">
        <v>1098</v>
      </c>
      <c r="H25" s="19" t="n">
        <v>18.4</v>
      </c>
      <c r="I25" s="31" t="inlineStr">
        <is>
          <t>Dinner Peak Rush</t>
        </is>
      </c>
    </row>
    <row r="26">
      <c r="B26" s="16" t="inlineStr">
        <is>
          <t>21:00 - 22:00</t>
        </is>
      </c>
      <c r="C26" s="18" t="n">
        <v>1388</v>
      </c>
      <c r="D26" s="18" t="n">
        <v>654</v>
      </c>
      <c r="E26" s="18" t="n">
        <v>624</v>
      </c>
      <c r="F26" s="17">
        <f>E26/D26</f>
        <v/>
      </c>
      <c r="G26" s="18" t="n">
        <v>1358</v>
      </c>
      <c r="H26" s="19" t="n">
        <v>18.2</v>
      </c>
      <c r="I26" s="31" t="inlineStr">
        <is>
          <t>Dinner Peak Rush</t>
        </is>
      </c>
    </row>
    <row r="27">
      <c r="B27" s="16" t="inlineStr">
        <is>
          <t>22:00 - 23:00</t>
        </is>
      </c>
      <c r="C27" s="18" t="n">
        <v>1127</v>
      </c>
      <c r="D27" s="18" t="n">
        <v>656</v>
      </c>
      <c r="E27" s="18" t="n">
        <v>622</v>
      </c>
      <c r="F27" s="17">
        <f>E27/D27</f>
        <v/>
      </c>
      <c r="G27" s="18" t="n">
        <v>1093</v>
      </c>
      <c r="H27" s="19" t="n">
        <v>17.5</v>
      </c>
      <c r="I27" s="31" t="inlineStr">
        <is>
          <t>Dinner Peak Rush</t>
        </is>
      </c>
    </row>
    <row r="28">
      <c r="B28" s="16" t="inlineStr">
        <is>
          <t>23:00 - 24:00</t>
        </is>
      </c>
      <c r="C28" s="18" t="n">
        <v>112</v>
      </c>
      <c r="D28" s="18" t="n">
        <v>247</v>
      </c>
      <c r="E28" s="18" t="n">
        <v>72</v>
      </c>
      <c r="F28" s="17">
        <f>E28/D28</f>
        <v/>
      </c>
      <c r="G28" s="18" t="n">
        <v>0</v>
      </c>
      <c r="H28" s="19" t="n">
        <v>4.2</v>
      </c>
      <c r="I28" s="29" t="inlineStr">
        <is>
          <t>Off-Peak Calm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7" customWidth="1" min="2" max="2"/>
    <col width="11" customWidth="1" min="3" max="3"/>
    <col width="32" customWidth="1" min="4" max="4"/>
    <col width="28" customWidth="1" min="5" max="5"/>
    <col width="13" customWidth="1" min="6" max="6"/>
    <col width="26" customWidth="1" min="7" max="7"/>
    <col width="21" customWidth="1" min="8" max="8"/>
    <col width="21" customWidth="1" min="9" max="9"/>
    <col width="29" customWidth="1" min="10" max="10"/>
    <col width="20" customWidth="1" min="11" max="11"/>
    <col width="24" customWidth="1" min="12" max="12"/>
    <col width="36" customWidth="1" min="13" max="13"/>
  </cols>
  <sheetData>
    <row r="1"/>
    <row r="2">
      <c r="B2" s="14" t="inlineStr">
        <is>
          <t>RAW TRANSACTION LOG SAMPLE (REPRESENTATIVE 100 ORDERS)</t>
        </is>
      </c>
    </row>
    <row r="3"/>
    <row r="4">
      <c r="B4" s="32" t="inlineStr">
        <is>
          <t>Order ID</t>
        </is>
      </c>
      <c r="C4" s="32" t="inlineStr">
        <is>
          <t>Market</t>
        </is>
      </c>
      <c r="D4" s="32" t="inlineStr">
        <is>
          <t>Order Protocol</t>
        </is>
      </c>
      <c r="E4" s="32" t="inlineStr">
        <is>
          <t>Cuisine Category</t>
        </is>
      </c>
      <c r="F4" s="32" t="inlineStr">
        <is>
          <t>Item Count</t>
        </is>
      </c>
      <c r="G4" s="32" t="inlineStr">
        <is>
          <t>Kitchen Prep Time (min)</t>
        </is>
      </c>
      <c r="H4" s="32" t="inlineStr">
        <is>
          <t>Dispatch Lag (min)</t>
        </is>
      </c>
      <c r="I4" s="32" t="inlineStr">
        <is>
          <t>Transit Time (min)</t>
        </is>
      </c>
      <c r="J4" s="32" t="inlineStr">
        <is>
          <t>Actual Delivery Time (min)</t>
        </is>
      </c>
      <c r="K4" s="32" t="inlineStr">
        <is>
          <t>Target Time (min)</t>
        </is>
      </c>
      <c r="L4" s="32" t="inlineStr">
        <is>
          <t>SLA Latency Gap (min)</t>
        </is>
      </c>
      <c r="M4" s="32" t="inlineStr">
        <is>
          <t>SLA Breach Flag</t>
        </is>
      </c>
    </row>
    <row r="5">
      <c r="B5" s="16" t="inlineStr">
        <is>
          <t>PTR-2026-10001</t>
        </is>
      </c>
      <c r="C5" s="16" t="inlineStr">
        <is>
          <t>Market 1</t>
        </is>
      </c>
      <c r="D5" s="16" t="inlineStr">
        <is>
          <t>Protocol 3 (Call-in Dispatch)</t>
        </is>
      </c>
      <c r="E5" s="16" t="inlineStr">
        <is>
          <t>Fast Food Burgers</t>
        </is>
      </c>
      <c r="F5" s="16" t="n">
        <v>3</v>
      </c>
      <c r="G5" s="19" t="n">
        <v>13.9</v>
      </c>
      <c r="H5" s="19" t="n">
        <v>16.3</v>
      </c>
      <c r="I5" s="19" t="n">
        <v>12.9</v>
      </c>
      <c r="J5" s="19">
        <f>G5+H5+I5</f>
        <v/>
      </c>
      <c r="K5" s="19" t="n">
        <v>32</v>
      </c>
      <c r="L5" s="19">
        <f>J5-K5</f>
        <v/>
      </c>
      <c r="M5" s="16">
        <f>IF(L5&gt;15, "BREACH", "SLA MET")</f>
        <v/>
      </c>
    </row>
    <row r="6">
      <c r="B6" s="16" t="inlineStr">
        <is>
          <t>PTR-2026-10002</t>
        </is>
      </c>
      <c r="C6" s="16" t="inlineStr">
        <is>
          <t>Market 4</t>
        </is>
      </c>
      <c r="D6" s="16" t="inlineStr">
        <is>
          <t>Protocol 3 (Call-in Dispatch)</t>
        </is>
      </c>
      <c r="E6" s="16" t="inlineStr">
        <is>
          <t>Fast Food Burgers</t>
        </is>
      </c>
      <c r="F6" s="16" t="n">
        <v>1</v>
      </c>
      <c r="G6" s="19" t="n">
        <v>20.3</v>
      </c>
      <c r="H6" s="19" t="n">
        <v>14.8</v>
      </c>
      <c r="I6" s="19" t="n">
        <v>11.3</v>
      </c>
      <c r="J6" s="19">
        <f>G6+H6+I6</f>
        <v/>
      </c>
      <c r="K6" s="19" t="n">
        <v>32</v>
      </c>
      <c r="L6" s="19">
        <f>J6-K6</f>
        <v/>
      </c>
      <c r="M6" s="16">
        <f>IF(L6&gt;15, "BREACH", "SLA MET")</f>
        <v/>
      </c>
    </row>
    <row r="7">
      <c r="B7" s="16" t="inlineStr">
        <is>
          <t>PTR-2026-10003</t>
        </is>
      </c>
      <c r="C7" s="16" t="inlineStr">
        <is>
          <t>Market 4</t>
        </is>
      </c>
      <c r="D7" s="16" t="inlineStr">
        <is>
          <t>Protocol 1 (Direct POS)</t>
        </is>
      </c>
      <c r="E7" s="16" t="inlineStr">
        <is>
          <t>Italian / Artisanal Pizza</t>
        </is>
      </c>
      <c r="F7" s="16" t="n">
        <v>4</v>
      </c>
      <c r="G7" s="19" t="n">
        <v>33.1</v>
      </c>
      <c r="H7" s="19" t="n">
        <v>7.8</v>
      </c>
      <c r="I7" s="19" t="n">
        <v>11.2</v>
      </c>
      <c r="J7" s="19">
        <f>G7+H7+I7</f>
        <v/>
      </c>
      <c r="K7" s="19" t="n">
        <v>32</v>
      </c>
      <c r="L7" s="19">
        <f>J7-K7</f>
        <v/>
      </c>
      <c r="M7" s="16">
        <f>IF(L7&gt;15, "BREACH", "SLA MET")</f>
        <v/>
      </c>
    </row>
    <row r="8">
      <c r="B8" s="16" t="inlineStr">
        <is>
          <t>PTR-2026-10004</t>
        </is>
      </c>
      <c r="C8" s="16" t="inlineStr">
        <is>
          <t>Market 4</t>
        </is>
      </c>
      <c r="D8" s="16" t="inlineStr">
        <is>
          <t>Protocol 1 (Direct POS)</t>
        </is>
      </c>
      <c r="E8" s="16" t="inlineStr">
        <is>
          <t>Asian / Chinese</t>
        </is>
      </c>
      <c r="F8" s="16" t="n">
        <v>7</v>
      </c>
      <c r="G8" s="19" t="n">
        <v>23.2</v>
      </c>
      <c r="H8" s="19" t="n">
        <v>3.9</v>
      </c>
      <c r="I8" s="19" t="n">
        <v>9.199999999999999</v>
      </c>
      <c r="J8" s="19">
        <f>G8+H8+I8</f>
        <v/>
      </c>
      <c r="K8" s="19" t="n">
        <v>32</v>
      </c>
      <c r="L8" s="19">
        <f>J8-K8</f>
        <v/>
      </c>
      <c r="M8" s="16">
        <f>IF(L8&gt;15, "BREACH", "SLA MET")</f>
        <v/>
      </c>
    </row>
    <row r="9">
      <c r="B9" s="16" t="inlineStr">
        <is>
          <t>PTR-2026-10005</t>
        </is>
      </c>
      <c r="C9" s="16" t="inlineStr">
        <is>
          <t>Market 3</t>
        </is>
      </c>
      <c r="D9" s="16" t="inlineStr">
        <is>
          <t>Protocol 4 (Manual Tablet)</t>
        </is>
      </c>
      <c r="E9" s="16" t="inlineStr">
        <is>
          <t>Italian / Artisanal Pizza</t>
        </is>
      </c>
      <c r="F9" s="16" t="n">
        <v>5</v>
      </c>
      <c r="G9" s="19" t="n">
        <v>27.7</v>
      </c>
      <c r="H9" s="19" t="n">
        <v>17.4</v>
      </c>
      <c r="I9" s="19" t="n">
        <v>13.9</v>
      </c>
      <c r="J9" s="19">
        <f>G9+H9+I9</f>
        <v/>
      </c>
      <c r="K9" s="19" t="n">
        <v>32</v>
      </c>
      <c r="L9" s="19">
        <f>J9-K9</f>
        <v/>
      </c>
      <c r="M9" s="16">
        <f>IF(L9&gt;15, "BREACH", "SLA MET")</f>
        <v/>
      </c>
    </row>
    <row r="10">
      <c r="B10" s="16" t="inlineStr">
        <is>
          <t>PTR-2026-10006</t>
        </is>
      </c>
      <c r="C10" s="16" t="inlineStr">
        <is>
          <t>Market 3</t>
        </is>
      </c>
      <c r="D10" s="16" t="inlineStr">
        <is>
          <t>Protocol 1 (Direct POS)</t>
        </is>
      </c>
      <c r="E10" s="16" t="inlineStr">
        <is>
          <t>Italian / Artisanal Pizza</t>
        </is>
      </c>
      <c r="F10" s="16" t="n">
        <v>1</v>
      </c>
      <c r="G10" s="19" t="n">
        <v>27.4</v>
      </c>
      <c r="H10" s="19" t="n">
        <v>5.1</v>
      </c>
      <c r="I10" s="19" t="n">
        <v>6.8</v>
      </c>
      <c r="J10" s="19">
        <f>G10+H10+I10</f>
        <v/>
      </c>
      <c r="K10" s="19" t="n">
        <v>32</v>
      </c>
      <c r="L10" s="19">
        <f>J10-K10</f>
        <v/>
      </c>
      <c r="M10" s="16">
        <f>IF(L10&gt;15, "BREACH", "SLA MET")</f>
        <v/>
      </c>
    </row>
    <row r="11">
      <c r="B11" s="16" t="inlineStr">
        <is>
          <t>PTR-2026-10007</t>
        </is>
      </c>
      <c r="C11" s="16" t="inlineStr">
        <is>
          <t>Market 1</t>
        </is>
      </c>
      <c r="D11" s="16" t="inlineStr">
        <is>
          <t>Protocol 4 (Manual Tablet)</t>
        </is>
      </c>
      <c r="E11" s="16" t="inlineStr">
        <is>
          <t>Fast Food Burgers</t>
        </is>
      </c>
      <c r="F11" s="16" t="n">
        <v>1</v>
      </c>
      <c r="G11" s="19" t="n">
        <v>24.3</v>
      </c>
      <c r="H11" s="19" t="n">
        <v>16.1</v>
      </c>
      <c r="I11" s="19" t="n">
        <v>8.199999999999999</v>
      </c>
      <c r="J11" s="19">
        <f>G11+H11+I11</f>
        <v/>
      </c>
      <c r="K11" s="19" t="n">
        <v>32</v>
      </c>
      <c r="L11" s="19">
        <f>J11-K11</f>
        <v/>
      </c>
      <c r="M11" s="16">
        <f>IF(L11&gt;15, "BREACH", "SLA MET")</f>
        <v/>
      </c>
    </row>
    <row r="12">
      <c r="B12" s="16" t="inlineStr">
        <is>
          <t>PTR-2026-10008</t>
        </is>
      </c>
      <c r="C12" s="16" t="inlineStr">
        <is>
          <t>Market 2</t>
        </is>
      </c>
      <c r="D12" s="16" t="inlineStr">
        <is>
          <t>Protocol 1 (Direct POS)</t>
        </is>
      </c>
      <c r="E12" s="16" t="inlineStr">
        <is>
          <t>Italian / Artisanal Pizza</t>
        </is>
      </c>
      <c r="F12" s="16" t="n">
        <v>4</v>
      </c>
      <c r="G12" s="19" t="n">
        <v>23.9</v>
      </c>
      <c r="H12" s="19" t="n">
        <v>6.9</v>
      </c>
      <c r="I12" s="19" t="n">
        <v>13</v>
      </c>
      <c r="J12" s="19">
        <f>G12+H12+I12</f>
        <v/>
      </c>
      <c r="K12" s="19" t="n">
        <v>32</v>
      </c>
      <c r="L12" s="19">
        <f>J12-K12</f>
        <v/>
      </c>
      <c r="M12" s="16">
        <f>IF(L12&gt;15, "BREACH", "SLA MET")</f>
        <v/>
      </c>
    </row>
    <row r="13">
      <c r="B13" s="16" t="inlineStr">
        <is>
          <t>PTR-2026-10009</t>
        </is>
      </c>
      <c r="C13" s="16" t="inlineStr">
        <is>
          <t>Market 3</t>
        </is>
      </c>
      <c r="D13" s="16" t="inlineStr">
        <is>
          <t>Protocol 1 (Direct POS)</t>
        </is>
      </c>
      <c r="E13" s="16" t="inlineStr">
        <is>
          <t>Indian Curries &amp; Biryani</t>
        </is>
      </c>
      <c r="F13" s="16" t="n">
        <v>3</v>
      </c>
      <c r="G13" s="19" t="n">
        <v>23</v>
      </c>
      <c r="H13" s="19" t="n">
        <v>3.4</v>
      </c>
      <c r="I13" s="19" t="n">
        <v>10.8</v>
      </c>
      <c r="J13" s="19">
        <f>G13+H13+I13</f>
        <v/>
      </c>
      <c r="K13" s="19" t="n">
        <v>32</v>
      </c>
      <c r="L13" s="19">
        <f>J13-K13</f>
        <v/>
      </c>
      <c r="M13" s="16">
        <f>IF(L13&gt;15, "BREACH", "SLA MET")</f>
        <v/>
      </c>
    </row>
    <row r="14">
      <c r="B14" s="16" t="inlineStr">
        <is>
          <t>PTR-2026-10010</t>
        </is>
      </c>
      <c r="C14" s="16" t="inlineStr">
        <is>
          <t>Market 4</t>
        </is>
      </c>
      <c r="D14" s="16" t="inlineStr">
        <is>
          <t>Protocol 1 (Direct POS)</t>
        </is>
      </c>
      <c r="E14" s="16" t="inlineStr">
        <is>
          <t>Asian / Chinese</t>
        </is>
      </c>
      <c r="F14" s="16" t="n">
        <v>1</v>
      </c>
      <c r="G14" s="19" t="n">
        <v>16</v>
      </c>
      <c r="H14" s="19" t="n">
        <v>10.2</v>
      </c>
      <c r="I14" s="19" t="n">
        <v>13.2</v>
      </c>
      <c r="J14" s="19">
        <f>G14+H14+I14</f>
        <v/>
      </c>
      <c r="K14" s="19" t="n">
        <v>32</v>
      </c>
      <c r="L14" s="19">
        <f>J14-K14</f>
        <v/>
      </c>
      <c r="M14" s="16">
        <f>IF(L14&gt;15, "BREACH", "SLA MET")</f>
        <v/>
      </c>
    </row>
    <row r="15">
      <c r="B15" s="16" t="inlineStr">
        <is>
          <t>PTR-2026-10011</t>
        </is>
      </c>
      <c r="C15" s="16" t="inlineStr">
        <is>
          <t>Market 4</t>
        </is>
      </c>
      <c r="D15" s="16" t="inlineStr">
        <is>
          <t>Protocol 1 (Direct POS)</t>
        </is>
      </c>
      <c r="E15" s="16" t="inlineStr">
        <is>
          <t>Salads &amp; Bowls</t>
        </is>
      </c>
      <c r="F15" s="16" t="n">
        <v>7</v>
      </c>
      <c r="G15" s="19" t="n">
        <v>24.1</v>
      </c>
      <c r="H15" s="19" t="n">
        <v>8.4</v>
      </c>
      <c r="I15" s="19" t="n">
        <v>8.5</v>
      </c>
      <c r="J15" s="19">
        <f>G15+H15+I15</f>
        <v/>
      </c>
      <c r="K15" s="19" t="n">
        <v>32</v>
      </c>
      <c r="L15" s="19">
        <f>J15-K15</f>
        <v/>
      </c>
      <c r="M15" s="16">
        <f>IF(L15&gt;15, "BREACH", "SLA MET")</f>
        <v/>
      </c>
    </row>
    <row r="16">
      <c r="B16" s="16" t="inlineStr">
        <is>
          <t>PTR-2026-10012</t>
        </is>
      </c>
      <c r="C16" s="16" t="inlineStr">
        <is>
          <t>Market 4</t>
        </is>
      </c>
      <c r="D16" s="16" t="inlineStr">
        <is>
          <t>Protocol 3 (Call-in Dispatch)</t>
        </is>
      </c>
      <c r="E16" s="16" t="inlineStr">
        <is>
          <t>Fast Food Burgers</t>
        </is>
      </c>
      <c r="F16" s="16" t="n">
        <v>7</v>
      </c>
      <c r="G16" s="19" t="n">
        <v>31.6</v>
      </c>
      <c r="H16" s="19" t="n">
        <v>13.7</v>
      </c>
      <c r="I16" s="19" t="n">
        <v>9.1</v>
      </c>
      <c r="J16" s="19">
        <f>G16+H16+I16</f>
        <v/>
      </c>
      <c r="K16" s="19" t="n">
        <v>32</v>
      </c>
      <c r="L16" s="19">
        <f>J16-K16</f>
        <v/>
      </c>
      <c r="M16" s="16">
        <f>IF(L16&gt;15, "BREACH", "SLA MET")</f>
        <v/>
      </c>
    </row>
    <row r="17">
      <c r="B17" s="16" t="inlineStr">
        <is>
          <t>PTR-2026-10013</t>
        </is>
      </c>
      <c r="C17" s="16" t="inlineStr">
        <is>
          <t>Market 2</t>
        </is>
      </c>
      <c r="D17" s="16" t="inlineStr">
        <is>
          <t>Protocol 3 (Call-in Dispatch)</t>
        </is>
      </c>
      <c r="E17" s="16" t="inlineStr">
        <is>
          <t>Fast Food Burgers</t>
        </is>
      </c>
      <c r="F17" s="16" t="n">
        <v>4</v>
      </c>
      <c r="G17" s="19" t="n">
        <v>26.8</v>
      </c>
      <c r="H17" s="19" t="n">
        <v>15.5</v>
      </c>
      <c r="I17" s="19" t="n">
        <v>14.8</v>
      </c>
      <c r="J17" s="19">
        <f>G17+H17+I17</f>
        <v/>
      </c>
      <c r="K17" s="19" t="n">
        <v>32</v>
      </c>
      <c r="L17" s="19">
        <f>J17-K17</f>
        <v/>
      </c>
      <c r="M17" s="16">
        <f>IF(L17&gt;15, "BREACH", "SLA MET")</f>
        <v/>
      </c>
    </row>
    <row r="18">
      <c r="B18" s="16" t="inlineStr">
        <is>
          <t>PTR-2026-10014</t>
        </is>
      </c>
      <c r="C18" s="16" t="inlineStr">
        <is>
          <t>Market 2</t>
        </is>
      </c>
      <c r="D18" s="16" t="inlineStr">
        <is>
          <t>Protocol 3 (Call-in Dispatch)</t>
        </is>
      </c>
      <c r="E18" s="16" t="inlineStr">
        <is>
          <t>Indian Curries &amp; Biryani</t>
        </is>
      </c>
      <c r="F18" s="16" t="n">
        <v>1</v>
      </c>
      <c r="G18" s="19" t="n">
        <v>22.5</v>
      </c>
      <c r="H18" s="19" t="n">
        <v>19.8</v>
      </c>
      <c r="I18" s="19" t="n">
        <v>15.4</v>
      </c>
      <c r="J18" s="19">
        <f>G18+H18+I18</f>
        <v/>
      </c>
      <c r="K18" s="19" t="n">
        <v>32</v>
      </c>
      <c r="L18" s="19">
        <f>J18-K18</f>
        <v/>
      </c>
      <c r="M18" s="16">
        <f>IF(L18&gt;15, "BREACH", "SLA MET")</f>
        <v/>
      </c>
    </row>
    <row r="19">
      <c r="B19" s="16" t="inlineStr">
        <is>
          <t>PTR-2026-10015</t>
        </is>
      </c>
      <c r="C19" s="16" t="inlineStr">
        <is>
          <t>Market 2</t>
        </is>
      </c>
      <c r="D19" s="16" t="inlineStr">
        <is>
          <t>Protocol 3 (Call-in Dispatch)</t>
        </is>
      </c>
      <c r="E19" s="16" t="inlineStr">
        <is>
          <t>Indian Curries &amp; Biryani</t>
        </is>
      </c>
      <c r="F19" s="16" t="n">
        <v>3</v>
      </c>
      <c r="G19" s="19" t="n">
        <v>24.6</v>
      </c>
      <c r="H19" s="19" t="n">
        <v>15</v>
      </c>
      <c r="I19" s="19" t="n">
        <v>13.2</v>
      </c>
      <c r="J19" s="19">
        <f>G19+H19+I19</f>
        <v/>
      </c>
      <c r="K19" s="19" t="n">
        <v>32</v>
      </c>
      <c r="L19" s="19">
        <f>J19-K19</f>
        <v/>
      </c>
      <c r="M19" s="16">
        <f>IF(L19&gt;15, "BREACH", "SLA MET")</f>
        <v/>
      </c>
    </row>
    <row r="20">
      <c r="B20" s="16" t="inlineStr">
        <is>
          <t>PTR-2026-10016</t>
        </is>
      </c>
      <c r="C20" s="16" t="inlineStr">
        <is>
          <t>Market 2</t>
        </is>
      </c>
      <c r="D20" s="16" t="inlineStr">
        <is>
          <t>Protocol 4 (Manual Tablet)</t>
        </is>
      </c>
      <c r="E20" s="16" t="inlineStr">
        <is>
          <t>Salads &amp; Bowls</t>
        </is>
      </c>
      <c r="F20" s="16" t="n">
        <v>5</v>
      </c>
      <c r="G20" s="19" t="n">
        <v>28.1</v>
      </c>
      <c r="H20" s="19" t="n">
        <v>17.2</v>
      </c>
      <c r="I20" s="19" t="n">
        <v>15.2</v>
      </c>
      <c r="J20" s="19">
        <f>G20+H20+I20</f>
        <v/>
      </c>
      <c r="K20" s="19" t="n">
        <v>32</v>
      </c>
      <c r="L20" s="19">
        <f>J20-K20</f>
        <v/>
      </c>
      <c r="M20" s="16">
        <f>IF(L20&gt;15, "BREACH", "SLA MET")</f>
        <v/>
      </c>
    </row>
    <row r="21">
      <c r="B21" s="16" t="inlineStr">
        <is>
          <t>PTR-2026-10017</t>
        </is>
      </c>
      <c r="C21" s="16" t="inlineStr">
        <is>
          <t>Market 2</t>
        </is>
      </c>
      <c r="D21" s="16" t="inlineStr">
        <is>
          <t>Protocol 1 (Direct POS)</t>
        </is>
      </c>
      <c r="E21" s="16" t="inlineStr">
        <is>
          <t>Fast Food Burgers</t>
        </is>
      </c>
      <c r="F21" s="16" t="n">
        <v>4</v>
      </c>
      <c r="G21" s="19" t="n">
        <v>27.7</v>
      </c>
      <c r="H21" s="19" t="n">
        <v>7.2</v>
      </c>
      <c r="I21" s="19" t="n">
        <v>11.5</v>
      </c>
      <c r="J21" s="19">
        <f>G21+H21+I21</f>
        <v/>
      </c>
      <c r="K21" s="19" t="n">
        <v>32</v>
      </c>
      <c r="L21" s="19">
        <f>J21-K21</f>
        <v/>
      </c>
      <c r="M21" s="16">
        <f>IF(L21&gt;15, "BREACH", "SLA MET")</f>
        <v/>
      </c>
    </row>
    <row r="22">
      <c r="B22" s="16" t="inlineStr">
        <is>
          <t>PTR-2026-10018</t>
        </is>
      </c>
      <c r="C22" s="16" t="inlineStr">
        <is>
          <t>Market 2</t>
        </is>
      </c>
      <c r="D22" s="16" t="inlineStr">
        <is>
          <t>Protocol 4 (Manual Tablet)</t>
        </is>
      </c>
      <c r="E22" s="16" t="inlineStr">
        <is>
          <t>Salads &amp; Bowls</t>
        </is>
      </c>
      <c r="F22" s="16" t="n">
        <v>6</v>
      </c>
      <c r="G22" s="19" t="n">
        <v>27.6</v>
      </c>
      <c r="H22" s="19" t="n">
        <v>17</v>
      </c>
      <c r="I22" s="19" t="n">
        <v>10.2</v>
      </c>
      <c r="J22" s="19">
        <f>G22+H22+I22</f>
        <v/>
      </c>
      <c r="K22" s="19" t="n">
        <v>32</v>
      </c>
      <c r="L22" s="19">
        <f>J22-K22</f>
        <v/>
      </c>
      <c r="M22" s="16">
        <f>IF(L22&gt;15, "BREACH", "SLA MET")</f>
        <v/>
      </c>
    </row>
    <row r="23">
      <c r="B23" s="16" t="inlineStr">
        <is>
          <t>PTR-2026-10019</t>
        </is>
      </c>
      <c r="C23" s="16" t="inlineStr">
        <is>
          <t>Market 1</t>
        </is>
      </c>
      <c r="D23" s="16" t="inlineStr">
        <is>
          <t>Protocol 3 (Call-in Dispatch)</t>
        </is>
      </c>
      <c r="E23" s="16" t="inlineStr">
        <is>
          <t>Italian / Artisanal Pizza</t>
        </is>
      </c>
      <c r="F23" s="16" t="n">
        <v>4</v>
      </c>
      <c r="G23" s="19" t="n">
        <v>23.4</v>
      </c>
      <c r="H23" s="19" t="n">
        <v>18.7</v>
      </c>
      <c r="I23" s="19" t="n">
        <v>13.4</v>
      </c>
      <c r="J23" s="19">
        <f>G23+H23+I23</f>
        <v/>
      </c>
      <c r="K23" s="19" t="n">
        <v>32</v>
      </c>
      <c r="L23" s="19">
        <f>J23-K23</f>
        <v/>
      </c>
      <c r="M23" s="16">
        <f>IF(L23&gt;15, "BREACH", "SLA MET")</f>
        <v/>
      </c>
    </row>
    <row r="24">
      <c r="B24" s="16" t="inlineStr">
        <is>
          <t>PTR-2026-10020</t>
        </is>
      </c>
      <c r="C24" s="16" t="inlineStr">
        <is>
          <t>Market 4</t>
        </is>
      </c>
      <c r="D24" s="16" t="inlineStr">
        <is>
          <t>Protocol 4 (Manual Tablet)</t>
        </is>
      </c>
      <c r="E24" s="16" t="inlineStr">
        <is>
          <t>Italian / Artisanal Pizza</t>
        </is>
      </c>
      <c r="F24" s="16" t="n">
        <v>1</v>
      </c>
      <c r="G24" s="19" t="n">
        <v>23.9</v>
      </c>
      <c r="H24" s="19" t="n">
        <v>18.3</v>
      </c>
      <c r="I24" s="19" t="n">
        <v>18.2</v>
      </c>
      <c r="J24" s="19">
        <f>G24+H24+I24</f>
        <v/>
      </c>
      <c r="K24" s="19" t="n">
        <v>32</v>
      </c>
      <c r="L24" s="19">
        <f>J24-K24</f>
        <v/>
      </c>
      <c r="M24" s="16">
        <f>IF(L24&gt;15, "BREACH", "SLA MET")</f>
        <v/>
      </c>
    </row>
    <row r="25">
      <c r="B25" s="16" t="inlineStr">
        <is>
          <t>PTR-2026-10021</t>
        </is>
      </c>
      <c r="C25" s="16" t="inlineStr">
        <is>
          <t>Market 4</t>
        </is>
      </c>
      <c r="D25" s="16" t="inlineStr">
        <is>
          <t>Protocol 1 (Direct POS)</t>
        </is>
      </c>
      <c r="E25" s="16" t="inlineStr">
        <is>
          <t>Asian / Chinese</t>
        </is>
      </c>
      <c r="F25" s="16" t="n">
        <v>3</v>
      </c>
      <c r="G25" s="19" t="n">
        <v>18.5</v>
      </c>
      <c r="H25" s="19" t="n">
        <v>8.5</v>
      </c>
      <c r="I25" s="19" t="n">
        <v>10.5</v>
      </c>
      <c r="J25" s="19">
        <f>G25+H25+I25</f>
        <v/>
      </c>
      <c r="K25" s="19" t="n">
        <v>32</v>
      </c>
      <c r="L25" s="19">
        <f>J25-K25</f>
        <v/>
      </c>
      <c r="M25" s="16">
        <f>IF(L25&gt;15, "BREACH", "SLA MET")</f>
        <v/>
      </c>
    </row>
    <row r="26">
      <c r="B26" s="16" t="inlineStr">
        <is>
          <t>PTR-2026-10022</t>
        </is>
      </c>
      <c r="C26" s="16" t="inlineStr">
        <is>
          <t>Market 4</t>
        </is>
      </c>
      <c r="D26" s="16" t="inlineStr">
        <is>
          <t>Protocol 3 (Call-in Dispatch)</t>
        </is>
      </c>
      <c r="E26" s="16" t="inlineStr">
        <is>
          <t>Asian / Chinese</t>
        </is>
      </c>
      <c r="F26" s="16" t="n">
        <v>4</v>
      </c>
      <c r="G26" s="19" t="n">
        <v>31.9</v>
      </c>
      <c r="H26" s="19" t="n">
        <v>13.8</v>
      </c>
      <c r="I26" s="19" t="n">
        <v>12.9</v>
      </c>
      <c r="J26" s="19">
        <f>G26+H26+I26</f>
        <v/>
      </c>
      <c r="K26" s="19" t="n">
        <v>32</v>
      </c>
      <c r="L26" s="19">
        <f>J26-K26</f>
        <v/>
      </c>
      <c r="M26" s="16">
        <f>IF(L26&gt;15, "BREACH", "SLA MET")</f>
        <v/>
      </c>
    </row>
    <row r="27">
      <c r="B27" s="16" t="inlineStr">
        <is>
          <t>PTR-2026-10023</t>
        </is>
      </c>
      <c r="C27" s="16" t="inlineStr">
        <is>
          <t>Market 2</t>
        </is>
      </c>
      <c r="D27" s="16" t="inlineStr">
        <is>
          <t>Protocol 3 (Call-in Dispatch)</t>
        </is>
      </c>
      <c r="E27" s="16" t="inlineStr">
        <is>
          <t>Italian / Artisanal Pizza</t>
        </is>
      </c>
      <c r="F27" s="16" t="n">
        <v>4</v>
      </c>
      <c r="G27" s="19" t="n">
        <v>26</v>
      </c>
      <c r="H27" s="19" t="n">
        <v>18.5</v>
      </c>
      <c r="I27" s="19" t="n">
        <v>14.4</v>
      </c>
      <c r="J27" s="19">
        <f>G27+H27+I27</f>
        <v/>
      </c>
      <c r="K27" s="19" t="n">
        <v>32</v>
      </c>
      <c r="L27" s="19">
        <f>J27-K27</f>
        <v/>
      </c>
      <c r="M27" s="16">
        <f>IF(L27&gt;15, "BREACH", "SLA MET")</f>
        <v/>
      </c>
    </row>
    <row r="28">
      <c r="B28" s="16" t="inlineStr">
        <is>
          <t>PTR-2026-10024</t>
        </is>
      </c>
      <c r="C28" s="16" t="inlineStr">
        <is>
          <t>Market 3</t>
        </is>
      </c>
      <c r="D28" s="16" t="inlineStr">
        <is>
          <t>Protocol 4 (Manual Tablet)</t>
        </is>
      </c>
      <c r="E28" s="16" t="inlineStr">
        <is>
          <t>Asian / Chinese</t>
        </is>
      </c>
      <c r="F28" s="16" t="n">
        <v>5</v>
      </c>
      <c r="G28" s="19" t="n">
        <v>26.5</v>
      </c>
      <c r="H28" s="19" t="n">
        <v>14.8</v>
      </c>
      <c r="I28" s="19" t="n">
        <v>8.5</v>
      </c>
      <c r="J28" s="19">
        <f>G28+H28+I28</f>
        <v/>
      </c>
      <c r="K28" s="19" t="n">
        <v>32</v>
      </c>
      <c r="L28" s="19">
        <f>J28-K28</f>
        <v/>
      </c>
      <c r="M28" s="16">
        <f>IF(L28&gt;15, "BREACH", "SLA MET")</f>
        <v/>
      </c>
    </row>
    <row r="29">
      <c r="B29" s="16" t="inlineStr">
        <is>
          <t>PTR-2026-10025</t>
        </is>
      </c>
      <c r="C29" s="16" t="inlineStr">
        <is>
          <t>Market 4</t>
        </is>
      </c>
      <c r="D29" s="16" t="inlineStr">
        <is>
          <t>Protocol 1 (Direct POS)</t>
        </is>
      </c>
      <c r="E29" s="16" t="inlineStr">
        <is>
          <t>Indian Curries &amp; Biryani</t>
        </is>
      </c>
      <c r="F29" s="16" t="n">
        <v>7</v>
      </c>
      <c r="G29" s="19" t="n">
        <v>22.8</v>
      </c>
      <c r="H29" s="19" t="n">
        <v>10.1</v>
      </c>
      <c r="I29" s="19" t="n">
        <v>8.4</v>
      </c>
      <c r="J29" s="19">
        <f>G29+H29+I29</f>
        <v/>
      </c>
      <c r="K29" s="19" t="n">
        <v>32</v>
      </c>
      <c r="L29" s="19">
        <f>J29-K29</f>
        <v/>
      </c>
      <c r="M29" s="16">
        <f>IF(L29&gt;15, "BREACH", "SLA MET")</f>
        <v/>
      </c>
    </row>
    <row r="30">
      <c r="B30" s="16" t="inlineStr">
        <is>
          <t>PTR-2026-10026</t>
        </is>
      </c>
      <c r="C30" s="16" t="inlineStr">
        <is>
          <t>Market 2</t>
        </is>
      </c>
      <c r="D30" s="16" t="inlineStr">
        <is>
          <t>Protocol 4 (Manual Tablet)</t>
        </is>
      </c>
      <c r="E30" s="16" t="inlineStr">
        <is>
          <t>Italian / Artisanal Pizza</t>
        </is>
      </c>
      <c r="F30" s="16" t="n">
        <v>3</v>
      </c>
      <c r="G30" s="19" t="n">
        <v>23.2</v>
      </c>
      <c r="H30" s="19" t="n">
        <v>17.8</v>
      </c>
      <c r="I30" s="19" t="n">
        <v>17.6</v>
      </c>
      <c r="J30" s="19">
        <f>G30+H30+I30</f>
        <v/>
      </c>
      <c r="K30" s="19" t="n">
        <v>32</v>
      </c>
      <c r="L30" s="19">
        <f>J30-K30</f>
        <v/>
      </c>
      <c r="M30" s="16">
        <f>IF(L30&gt;15, "BREACH", "SLA MET")</f>
        <v/>
      </c>
    </row>
    <row r="31">
      <c r="B31" s="16" t="inlineStr">
        <is>
          <t>PTR-2026-10027</t>
        </is>
      </c>
      <c r="C31" s="16" t="inlineStr">
        <is>
          <t>Market 2</t>
        </is>
      </c>
      <c r="D31" s="16" t="inlineStr">
        <is>
          <t>Protocol 1 (Direct POS)</t>
        </is>
      </c>
      <c r="E31" s="16" t="inlineStr">
        <is>
          <t>Indian Curries &amp; Biryani</t>
        </is>
      </c>
      <c r="F31" s="16" t="n">
        <v>1</v>
      </c>
      <c r="G31" s="19" t="n">
        <v>24.2</v>
      </c>
      <c r="H31" s="19" t="n">
        <v>6.7</v>
      </c>
      <c r="I31" s="19" t="n">
        <v>11.8</v>
      </c>
      <c r="J31" s="19">
        <f>G31+H31+I31</f>
        <v/>
      </c>
      <c r="K31" s="19" t="n">
        <v>32</v>
      </c>
      <c r="L31" s="19">
        <f>J31-K31</f>
        <v/>
      </c>
      <c r="M31" s="16">
        <f>IF(L31&gt;15, "BREACH", "SLA MET")</f>
        <v/>
      </c>
    </row>
    <row r="32">
      <c r="B32" s="16" t="inlineStr">
        <is>
          <t>PTR-2026-10028</t>
        </is>
      </c>
      <c r="C32" s="16" t="inlineStr">
        <is>
          <t>Market 3</t>
        </is>
      </c>
      <c r="D32" s="16" t="inlineStr">
        <is>
          <t>Protocol 1 (Direct POS)</t>
        </is>
      </c>
      <c r="E32" s="16" t="inlineStr">
        <is>
          <t>Indian Curries &amp; Biryani</t>
        </is>
      </c>
      <c r="F32" s="16" t="n">
        <v>2</v>
      </c>
      <c r="G32" s="19" t="n">
        <v>26.4</v>
      </c>
      <c r="H32" s="19" t="n">
        <v>11.5</v>
      </c>
      <c r="I32" s="19" t="n">
        <v>8.800000000000001</v>
      </c>
      <c r="J32" s="19">
        <f>G32+H32+I32</f>
        <v/>
      </c>
      <c r="K32" s="19" t="n">
        <v>32</v>
      </c>
      <c r="L32" s="19">
        <f>J32-K32</f>
        <v/>
      </c>
      <c r="M32" s="16">
        <f>IF(L32&gt;15, "BREACH", "SLA MET")</f>
        <v/>
      </c>
    </row>
    <row r="33">
      <c r="B33" s="16" t="inlineStr">
        <is>
          <t>PTR-2026-10029</t>
        </is>
      </c>
      <c r="C33" s="16" t="inlineStr">
        <is>
          <t>Market 2</t>
        </is>
      </c>
      <c r="D33" s="16" t="inlineStr">
        <is>
          <t>Protocol 1 (Direct POS)</t>
        </is>
      </c>
      <c r="E33" s="16" t="inlineStr">
        <is>
          <t>Asian / Chinese</t>
        </is>
      </c>
      <c r="F33" s="16" t="n">
        <v>6</v>
      </c>
      <c r="G33" s="19" t="n">
        <v>25.3</v>
      </c>
      <c r="H33" s="19" t="n">
        <v>6.4</v>
      </c>
      <c r="I33" s="19" t="n">
        <v>11</v>
      </c>
      <c r="J33" s="19">
        <f>G33+H33+I33</f>
        <v/>
      </c>
      <c r="K33" s="19" t="n">
        <v>32</v>
      </c>
      <c r="L33" s="19">
        <f>J33-K33</f>
        <v/>
      </c>
      <c r="M33" s="16">
        <f>IF(L33&gt;15, "BREACH", "SLA MET")</f>
        <v/>
      </c>
    </row>
    <row r="34">
      <c r="B34" s="16" t="inlineStr">
        <is>
          <t>PTR-2026-10030</t>
        </is>
      </c>
      <c r="C34" s="16" t="inlineStr">
        <is>
          <t>Market 4</t>
        </is>
      </c>
      <c r="D34" s="16" t="inlineStr">
        <is>
          <t>Protocol 3 (Call-in Dispatch)</t>
        </is>
      </c>
      <c r="E34" s="16" t="inlineStr">
        <is>
          <t>Salads &amp; Bowls</t>
        </is>
      </c>
      <c r="F34" s="16" t="n">
        <v>4</v>
      </c>
      <c r="G34" s="19" t="n">
        <v>25.6</v>
      </c>
      <c r="H34" s="19" t="n">
        <v>14.5</v>
      </c>
      <c r="I34" s="19" t="n">
        <v>11</v>
      </c>
      <c r="J34" s="19">
        <f>G34+H34+I34</f>
        <v/>
      </c>
      <c r="K34" s="19" t="n">
        <v>32</v>
      </c>
      <c r="L34" s="19">
        <f>J34-K34</f>
        <v/>
      </c>
      <c r="M34" s="16">
        <f>IF(L34&gt;15, "BREACH", "SLA MET")</f>
        <v/>
      </c>
    </row>
    <row r="35">
      <c r="B35" s="16" t="inlineStr">
        <is>
          <t>PTR-2026-10031</t>
        </is>
      </c>
      <c r="C35" s="16" t="inlineStr">
        <is>
          <t>Market 2</t>
        </is>
      </c>
      <c r="D35" s="16" t="inlineStr">
        <is>
          <t>Protocol 3 (Call-in Dispatch)</t>
        </is>
      </c>
      <c r="E35" s="16" t="inlineStr">
        <is>
          <t>Fast Food Burgers</t>
        </is>
      </c>
      <c r="F35" s="16" t="n">
        <v>7</v>
      </c>
      <c r="G35" s="19" t="n">
        <v>26.4</v>
      </c>
      <c r="H35" s="19" t="n">
        <v>15.1</v>
      </c>
      <c r="I35" s="19" t="n">
        <v>17.2</v>
      </c>
      <c r="J35" s="19">
        <f>G35+H35+I35</f>
        <v/>
      </c>
      <c r="K35" s="19" t="n">
        <v>32</v>
      </c>
      <c r="L35" s="19">
        <f>J35-K35</f>
        <v/>
      </c>
      <c r="M35" s="16">
        <f>IF(L35&gt;15, "BREACH", "SLA MET")</f>
        <v/>
      </c>
    </row>
    <row r="36">
      <c r="B36" s="16" t="inlineStr">
        <is>
          <t>PTR-2026-10032</t>
        </is>
      </c>
      <c r="C36" s="16" t="inlineStr">
        <is>
          <t>Market 2</t>
        </is>
      </c>
      <c r="D36" s="16" t="inlineStr">
        <is>
          <t>Protocol 1 (Direct POS)</t>
        </is>
      </c>
      <c r="E36" s="16" t="inlineStr">
        <is>
          <t>Italian / Artisanal Pizza</t>
        </is>
      </c>
      <c r="F36" s="16" t="n">
        <v>4</v>
      </c>
      <c r="G36" s="19" t="n">
        <v>25.3</v>
      </c>
      <c r="H36" s="19" t="n">
        <v>2.8</v>
      </c>
      <c r="I36" s="19" t="n">
        <v>12.4</v>
      </c>
      <c r="J36" s="19">
        <f>G36+H36+I36</f>
        <v/>
      </c>
      <c r="K36" s="19" t="n">
        <v>32</v>
      </c>
      <c r="L36" s="19">
        <f>J36-K36</f>
        <v/>
      </c>
      <c r="M36" s="16">
        <f>IF(L36&gt;15, "BREACH", "SLA MET")</f>
        <v/>
      </c>
    </row>
    <row r="37">
      <c r="B37" s="16" t="inlineStr">
        <is>
          <t>PTR-2026-10033</t>
        </is>
      </c>
      <c r="C37" s="16" t="inlineStr">
        <is>
          <t>Market 2</t>
        </is>
      </c>
      <c r="D37" s="16" t="inlineStr">
        <is>
          <t>Protocol 1 (Direct POS)</t>
        </is>
      </c>
      <c r="E37" s="16" t="inlineStr">
        <is>
          <t>Italian / Artisanal Pizza</t>
        </is>
      </c>
      <c r="F37" s="16" t="n">
        <v>5</v>
      </c>
      <c r="G37" s="19" t="n">
        <v>28.1</v>
      </c>
      <c r="H37" s="19" t="n">
        <v>10.8</v>
      </c>
      <c r="I37" s="19" t="n">
        <v>9.9</v>
      </c>
      <c r="J37" s="19">
        <f>G37+H37+I37</f>
        <v/>
      </c>
      <c r="K37" s="19" t="n">
        <v>32</v>
      </c>
      <c r="L37" s="19">
        <f>J37-K37</f>
        <v/>
      </c>
      <c r="M37" s="16">
        <f>IF(L37&gt;15, "BREACH", "SLA MET")</f>
        <v/>
      </c>
    </row>
    <row r="38">
      <c r="B38" s="16" t="inlineStr">
        <is>
          <t>PTR-2026-10034</t>
        </is>
      </c>
      <c r="C38" s="16" t="inlineStr">
        <is>
          <t>Market 2</t>
        </is>
      </c>
      <c r="D38" s="16" t="inlineStr">
        <is>
          <t>Protocol 1 (Direct POS)</t>
        </is>
      </c>
      <c r="E38" s="16" t="inlineStr">
        <is>
          <t>Asian / Chinese</t>
        </is>
      </c>
      <c r="F38" s="16" t="n">
        <v>6</v>
      </c>
      <c r="G38" s="19" t="n">
        <v>33.3</v>
      </c>
      <c r="H38" s="19" t="n">
        <v>7.4</v>
      </c>
      <c r="I38" s="19" t="n">
        <v>15.1</v>
      </c>
      <c r="J38" s="19">
        <f>G38+H38+I38</f>
        <v/>
      </c>
      <c r="K38" s="19" t="n">
        <v>32</v>
      </c>
      <c r="L38" s="19">
        <f>J38-K38</f>
        <v/>
      </c>
      <c r="M38" s="16">
        <f>IF(L38&gt;15, "BREACH", "SLA MET")</f>
        <v/>
      </c>
    </row>
    <row r="39">
      <c r="B39" s="16" t="inlineStr">
        <is>
          <t>PTR-2026-10035</t>
        </is>
      </c>
      <c r="C39" s="16" t="inlineStr">
        <is>
          <t>Market 4</t>
        </is>
      </c>
      <c r="D39" s="16" t="inlineStr">
        <is>
          <t>Protocol 1 (Direct POS)</t>
        </is>
      </c>
      <c r="E39" s="16" t="inlineStr">
        <is>
          <t>Asian / Chinese</t>
        </is>
      </c>
      <c r="F39" s="16" t="n">
        <v>7</v>
      </c>
      <c r="G39" s="19" t="n">
        <v>25.1</v>
      </c>
      <c r="H39" s="19" t="n">
        <v>2</v>
      </c>
      <c r="I39" s="19" t="n">
        <v>9.4</v>
      </c>
      <c r="J39" s="19">
        <f>G39+H39+I39</f>
        <v/>
      </c>
      <c r="K39" s="19" t="n">
        <v>32</v>
      </c>
      <c r="L39" s="19">
        <f>J39-K39</f>
        <v/>
      </c>
      <c r="M39" s="16">
        <f>IF(L39&gt;15, "BREACH", "SLA MET")</f>
        <v/>
      </c>
    </row>
    <row r="40">
      <c r="B40" s="16" t="inlineStr">
        <is>
          <t>PTR-2026-10036</t>
        </is>
      </c>
      <c r="C40" s="16" t="inlineStr">
        <is>
          <t>Market 3</t>
        </is>
      </c>
      <c r="D40" s="16" t="inlineStr">
        <is>
          <t>Protocol 4 (Manual Tablet)</t>
        </is>
      </c>
      <c r="E40" s="16" t="inlineStr">
        <is>
          <t>Salads &amp; Bowls</t>
        </is>
      </c>
      <c r="F40" s="16" t="n">
        <v>7</v>
      </c>
      <c r="G40" s="19" t="n">
        <v>27.3</v>
      </c>
      <c r="H40" s="19" t="n">
        <v>25.4</v>
      </c>
      <c r="I40" s="19" t="n">
        <v>10.7</v>
      </c>
      <c r="J40" s="19">
        <f>G40+H40+I40</f>
        <v/>
      </c>
      <c r="K40" s="19" t="n">
        <v>32</v>
      </c>
      <c r="L40" s="19">
        <f>J40-K40</f>
        <v/>
      </c>
      <c r="M40" s="16">
        <f>IF(L40&gt;15, "BREACH", "SLA MET")</f>
        <v/>
      </c>
    </row>
    <row r="41">
      <c r="B41" s="16" t="inlineStr">
        <is>
          <t>PTR-2026-10037</t>
        </is>
      </c>
      <c r="C41" s="16" t="inlineStr">
        <is>
          <t>Market 1</t>
        </is>
      </c>
      <c r="D41" s="16" t="inlineStr">
        <is>
          <t>Protocol 3 (Call-in Dispatch)</t>
        </is>
      </c>
      <c r="E41" s="16" t="inlineStr">
        <is>
          <t>Indian Curries &amp; Biryani</t>
        </is>
      </c>
      <c r="F41" s="16" t="n">
        <v>1</v>
      </c>
      <c r="G41" s="19" t="n">
        <v>28</v>
      </c>
      <c r="H41" s="19" t="n">
        <v>19.1</v>
      </c>
      <c r="I41" s="19" t="n">
        <v>12</v>
      </c>
      <c r="J41" s="19">
        <f>G41+H41+I41</f>
        <v/>
      </c>
      <c r="K41" s="19" t="n">
        <v>32</v>
      </c>
      <c r="L41" s="19">
        <f>J41-K41</f>
        <v/>
      </c>
      <c r="M41" s="16">
        <f>IF(L41&gt;15, "BREACH", "SLA MET")</f>
        <v/>
      </c>
    </row>
    <row r="42">
      <c r="B42" s="16" t="inlineStr">
        <is>
          <t>PTR-2026-10038</t>
        </is>
      </c>
      <c r="C42" s="16" t="inlineStr">
        <is>
          <t>Market 4</t>
        </is>
      </c>
      <c r="D42" s="16" t="inlineStr">
        <is>
          <t>Protocol 1 (Direct POS)</t>
        </is>
      </c>
      <c r="E42" s="16" t="inlineStr">
        <is>
          <t>Asian / Chinese</t>
        </is>
      </c>
      <c r="F42" s="16" t="n">
        <v>3</v>
      </c>
      <c r="G42" s="19" t="n">
        <v>21.1</v>
      </c>
      <c r="H42" s="19" t="n">
        <v>7.4</v>
      </c>
      <c r="I42" s="19" t="n">
        <v>13.3</v>
      </c>
      <c r="J42" s="19">
        <f>G42+H42+I42</f>
        <v/>
      </c>
      <c r="K42" s="19" t="n">
        <v>32</v>
      </c>
      <c r="L42" s="19">
        <f>J42-K42</f>
        <v/>
      </c>
      <c r="M42" s="16">
        <f>IF(L42&gt;15, "BREACH", "SLA MET")</f>
        <v/>
      </c>
    </row>
    <row r="43">
      <c r="B43" s="16" t="inlineStr">
        <is>
          <t>PTR-2026-10039</t>
        </is>
      </c>
      <c r="C43" s="16" t="inlineStr">
        <is>
          <t>Market 1</t>
        </is>
      </c>
      <c r="D43" s="16" t="inlineStr">
        <is>
          <t>Protocol 3 (Call-in Dispatch)</t>
        </is>
      </c>
      <c r="E43" s="16" t="inlineStr">
        <is>
          <t>Fast Food Burgers</t>
        </is>
      </c>
      <c r="F43" s="16" t="n">
        <v>4</v>
      </c>
      <c r="G43" s="19" t="n">
        <v>23.7</v>
      </c>
      <c r="H43" s="19" t="n">
        <v>14.5</v>
      </c>
      <c r="I43" s="19" t="n">
        <v>9.5</v>
      </c>
      <c r="J43" s="19">
        <f>G43+H43+I43</f>
        <v/>
      </c>
      <c r="K43" s="19" t="n">
        <v>32</v>
      </c>
      <c r="L43" s="19">
        <f>J43-K43</f>
        <v/>
      </c>
      <c r="M43" s="16">
        <f>IF(L43&gt;15, "BREACH", "SLA MET")</f>
        <v/>
      </c>
    </row>
    <row r="44">
      <c r="B44" s="16" t="inlineStr">
        <is>
          <t>PTR-2026-10040</t>
        </is>
      </c>
      <c r="C44" s="16" t="inlineStr">
        <is>
          <t>Market 4</t>
        </is>
      </c>
      <c r="D44" s="16" t="inlineStr">
        <is>
          <t>Protocol 1 (Direct POS)</t>
        </is>
      </c>
      <c r="E44" s="16" t="inlineStr">
        <is>
          <t>Indian Curries &amp; Biryani</t>
        </is>
      </c>
      <c r="F44" s="16" t="n">
        <v>5</v>
      </c>
      <c r="G44" s="19" t="n">
        <v>26.4</v>
      </c>
      <c r="H44" s="19" t="n">
        <v>4.5</v>
      </c>
      <c r="I44" s="19" t="n">
        <v>12.6</v>
      </c>
      <c r="J44" s="19">
        <f>G44+H44+I44</f>
        <v/>
      </c>
      <c r="K44" s="19" t="n">
        <v>32</v>
      </c>
      <c r="L44" s="19">
        <f>J44-K44</f>
        <v/>
      </c>
      <c r="M44" s="16">
        <f>IF(L44&gt;15, "BREACH", "SLA MET")</f>
        <v/>
      </c>
    </row>
    <row r="45">
      <c r="B45" s="16" t="inlineStr">
        <is>
          <t>PTR-2026-10041</t>
        </is>
      </c>
      <c r="C45" s="16" t="inlineStr">
        <is>
          <t>Market 2</t>
        </is>
      </c>
      <c r="D45" s="16" t="inlineStr">
        <is>
          <t>Protocol 3 (Call-in Dispatch)</t>
        </is>
      </c>
      <c r="E45" s="16" t="inlineStr">
        <is>
          <t>Asian / Chinese</t>
        </is>
      </c>
      <c r="F45" s="16" t="n">
        <v>3</v>
      </c>
      <c r="G45" s="19" t="n">
        <v>18.8</v>
      </c>
      <c r="H45" s="19" t="n">
        <v>18.1</v>
      </c>
      <c r="I45" s="19" t="n">
        <v>11.6</v>
      </c>
      <c r="J45" s="19">
        <f>G45+H45+I45</f>
        <v/>
      </c>
      <c r="K45" s="19" t="n">
        <v>32</v>
      </c>
      <c r="L45" s="19">
        <f>J45-K45</f>
        <v/>
      </c>
      <c r="M45" s="16">
        <f>IF(L45&gt;15, "BREACH", "SLA MET")</f>
        <v/>
      </c>
    </row>
    <row r="46">
      <c r="B46" s="16" t="inlineStr">
        <is>
          <t>PTR-2026-10042</t>
        </is>
      </c>
      <c r="C46" s="16" t="inlineStr">
        <is>
          <t>Market 2</t>
        </is>
      </c>
      <c r="D46" s="16" t="inlineStr">
        <is>
          <t>Protocol 3 (Call-in Dispatch)</t>
        </is>
      </c>
      <c r="E46" s="16" t="inlineStr">
        <is>
          <t>Fast Food Burgers</t>
        </is>
      </c>
      <c r="F46" s="16" t="n">
        <v>1</v>
      </c>
      <c r="G46" s="19" t="n">
        <v>20.6</v>
      </c>
      <c r="H46" s="19" t="n">
        <v>14.8</v>
      </c>
      <c r="I46" s="19" t="n">
        <v>14.2</v>
      </c>
      <c r="J46" s="19">
        <f>G46+H46+I46</f>
        <v/>
      </c>
      <c r="K46" s="19" t="n">
        <v>32</v>
      </c>
      <c r="L46" s="19">
        <f>J46-K46</f>
        <v/>
      </c>
      <c r="M46" s="16">
        <f>IF(L46&gt;15, "BREACH", "SLA MET")</f>
        <v/>
      </c>
    </row>
    <row r="47">
      <c r="B47" s="16" t="inlineStr">
        <is>
          <t>PTR-2026-10043</t>
        </is>
      </c>
      <c r="C47" s="16" t="inlineStr">
        <is>
          <t>Market 2</t>
        </is>
      </c>
      <c r="D47" s="16" t="inlineStr">
        <is>
          <t>Protocol 3 (Call-in Dispatch)</t>
        </is>
      </c>
      <c r="E47" s="16" t="inlineStr">
        <is>
          <t>Asian / Chinese</t>
        </is>
      </c>
      <c r="F47" s="16" t="n">
        <v>4</v>
      </c>
      <c r="G47" s="19" t="n">
        <v>32.2</v>
      </c>
      <c r="H47" s="19" t="n">
        <v>15.3</v>
      </c>
      <c r="I47" s="19" t="n">
        <v>12.2</v>
      </c>
      <c r="J47" s="19">
        <f>G47+H47+I47</f>
        <v/>
      </c>
      <c r="K47" s="19" t="n">
        <v>32</v>
      </c>
      <c r="L47" s="19">
        <f>J47-K47</f>
        <v/>
      </c>
      <c r="M47" s="16">
        <f>IF(L47&gt;15, "BREACH", "SLA MET")</f>
        <v/>
      </c>
    </row>
    <row r="48">
      <c r="B48" s="16" t="inlineStr">
        <is>
          <t>PTR-2026-10044</t>
        </is>
      </c>
      <c r="C48" s="16" t="inlineStr">
        <is>
          <t>Market 3</t>
        </is>
      </c>
      <c r="D48" s="16" t="inlineStr">
        <is>
          <t>Protocol 3 (Call-in Dispatch)</t>
        </is>
      </c>
      <c r="E48" s="16" t="inlineStr">
        <is>
          <t>Italian / Artisanal Pizza</t>
        </is>
      </c>
      <c r="F48" s="16" t="n">
        <v>6</v>
      </c>
      <c r="G48" s="19" t="n">
        <v>27.7</v>
      </c>
      <c r="H48" s="19" t="n">
        <v>14.8</v>
      </c>
      <c r="I48" s="19" t="n">
        <v>9.800000000000001</v>
      </c>
      <c r="J48" s="19">
        <f>G48+H48+I48</f>
        <v/>
      </c>
      <c r="K48" s="19" t="n">
        <v>32</v>
      </c>
      <c r="L48" s="19">
        <f>J48-K48</f>
        <v/>
      </c>
      <c r="M48" s="16">
        <f>IF(L48&gt;15, "BREACH", "SLA MET")</f>
        <v/>
      </c>
    </row>
    <row r="49">
      <c r="B49" s="16" t="inlineStr">
        <is>
          <t>PTR-2026-10045</t>
        </is>
      </c>
      <c r="C49" s="16" t="inlineStr">
        <is>
          <t>Market 2</t>
        </is>
      </c>
      <c r="D49" s="16" t="inlineStr">
        <is>
          <t>Protocol 4 (Manual Tablet)</t>
        </is>
      </c>
      <c r="E49" s="16" t="inlineStr">
        <is>
          <t>Fast Food Burgers</t>
        </is>
      </c>
      <c r="F49" s="16" t="n">
        <v>4</v>
      </c>
      <c r="G49" s="19" t="n">
        <v>28.2</v>
      </c>
      <c r="H49" s="19" t="n">
        <v>16.2</v>
      </c>
      <c r="I49" s="19" t="n">
        <v>12.7</v>
      </c>
      <c r="J49" s="19">
        <f>G49+H49+I49</f>
        <v/>
      </c>
      <c r="K49" s="19" t="n">
        <v>32</v>
      </c>
      <c r="L49" s="19">
        <f>J49-K49</f>
        <v/>
      </c>
      <c r="M49" s="16">
        <f>IF(L49&gt;15, "BREACH", "SLA MET")</f>
        <v/>
      </c>
    </row>
    <row r="50">
      <c r="B50" s="16" t="inlineStr">
        <is>
          <t>PTR-2026-10046</t>
        </is>
      </c>
      <c r="C50" s="16" t="inlineStr">
        <is>
          <t>Market 4</t>
        </is>
      </c>
      <c r="D50" s="16" t="inlineStr">
        <is>
          <t>Protocol 1 (Direct POS)</t>
        </is>
      </c>
      <c r="E50" s="16" t="inlineStr">
        <is>
          <t>Asian / Chinese</t>
        </is>
      </c>
      <c r="F50" s="16" t="n">
        <v>3</v>
      </c>
      <c r="G50" s="19" t="n">
        <v>24.6</v>
      </c>
      <c r="H50" s="19" t="n">
        <v>9.300000000000001</v>
      </c>
      <c r="I50" s="19" t="n">
        <v>15.9</v>
      </c>
      <c r="J50" s="19">
        <f>G50+H50+I50</f>
        <v/>
      </c>
      <c r="K50" s="19" t="n">
        <v>32</v>
      </c>
      <c r="L50" s="19">
        <f>J50-K50</f>
        <v/>
      </c>
      <c r="M50" s="16">
        <f>IF(L50&gt;15, "BREACH", "SLA MET")</f>
        <v/>
      </c>
    </row>
    <row r="51">
      <c r="B51" s="16" t="inlineStr">
        <is>
          <t>PTR-2026-10047</t>
        </is>
      </c>
      <c r="C51" s="16" t="inlineStr">
        <is>
          <t>Market 2</t>
        </is>
      </c>
      <c r="D51" s="16" t="inlineStr">
        <is>
          <t>Protocol 4 (Manual Tablet)</t>
        </is>
      </c>
      <c r="E51" s="16" t="inlineStr">
        <is>
          <t>Italian / Artisanal Pizza</t>
        </is>
      </c>
      <c r="F51" s="16" t="n">
        <v>7</v>
      </c>
      <c r="G51" s="19" t="n">
        <v>26.8</v>
      </c>
      <c r="H51" s="19" t="n">
        <v>14</v>
      </c>
      <c r="I51" s="19" t="n">
        <v>13.4</v>
      </c>
      <c r="J51" s="19">
        <f>G51+H51+I51</f>
        <v/>
      </c>
      <c r="K51" s="19" t="n">
        <v>32</v>
      </c>
      <c r="L51" s="19">
        <f>J51-K51</f>
        <v/>
      </c>
      <c r="M51" s="16">
        <f>IF(L51&gt;15, "BREACH", "SLA MET")</f>
        <v/>
      </c>
    </row>
    <row r="52">
      <c r="B52" s="16" t="inlineStr">
        <is>
          <t>PTR-2026-10048</t>
        </is>
      </c>
      <c r="C52" s="16" t="inlineStr">
        <is>
          <t>Market 4</t>
        </is>
      </c>
      <c r="D52" s="16" t="inlineStr">
        <is>
          <t>Protocol 4 (Manual Tablet)</t>
        </is>
      </c>
      <c r="E52" s="16" t="inlineStr">
        <is>
          <t>Fast Food Burgers</t>
        </is>
      </c>
      <c r="F52" s="16" t="n">
        <v>3</v>
      </c>
      <c r="G52" s="19" t="n">
        <v>15.1</v>
      </c>
      <c r="H52" s="19" t="n">
        <v>18.2</v>
      </c>
      <c r="I52" s="19" t="n">
        <v>13.9</v>
      </c>
      <c r="J52" s="19">
        <f>G52+H52+I52</f>
        <v/>
      </c>
      <c r="K52" s="19" t="n">
        <v>32</v>
      </c>
      <c r="L52" s="19">
        <f>J52-K52</f>
        <v/>
      </c>
      <c r="M52" s="16">
        <f>IF(L52&gt;15, "BREACH", "SLA MET")</f>
        <v/>
      </c>
    </row>
    <row r="53">
      <c r="B53" s="16" t="inlineStr">
        <is>
          <t>PTR-2026-10049</t>
        </is>
      </c>
      <c r="C53" s="16" t="inlineStr">
        <is>
          <t>Market 2</t>
        </is>
      </c>
      <c r="D53" s="16" t="inlineStr">
        <is>
          <t>Protocol 1 (Direct POS)</t>
        </is>
      </c>
      <c r="E53" s="16" t="inlineStr">
        <is>
          <t>Asian / Chinese</t>
        </is>
      </c>
      <c r="F53" s="16" t="n">
        <v>2</v>
      </c>
      <c r="G53" s="19" t="n">
        <v>20.6</v>
      </c>
      <c r="H53" s="19" t="n">
        <v>5.5</v>
      </c>
      <c r="I53" s="19" t="n">
        <v>13.3</v>
      </c>
      <c r="J53" s="19">
        <f>G53+H53+I53</f>
        <v/>
      </c>
      <c r="K53" s="19" t="n">
        <v>32</v>
      </c>
      <c r="L53" s="19">
        <f>J53-K53</f>
        <v/>
      </c>
      <c r="M53" s="16">
        <f>IF(L53&gt;15, "BREACH", "SLA MET")</f>
        <v/>
      </c>
    </row>
    <row r="54">
      <c r="B54" s="16" t="inlineStr">
        <is>
          <t>PTR-2026-10050</t>
        </is>
      </c>
      <c r="C54" s="16" t="inlineStr">
        <is>
          <t>Market 2</t>
        </is>
      </c>
      <c r="D54" s="16" t="inlineStr">
        <is>
          <t>Protocol 3 (Call-in Dispatch)</t>
        </is>
      </c>
      <c r="E54" s="16" t="inlineStr">
        <is>
          <t>Asian / Chinese</t>
        </is>
      </c>
      <c r="F54" s="16" t="n">
        <v>1</v>
      </c>
      <c r="G54" s="19" t="n">
        <v>13.4</v>
      </c>
      <c r="H54" s="19" t="n">
        <v>15.6</v>
      </c>
      <c r="I54" s="19" t="n">
        <v>14.3</v>
      </c>
      <c r="J54" s="19">
        <f>G54+H54+I54</f>
        <v/>
      </c>
      <c r="K54" s="19" t="n">
        <v>32</v>
      </c>
      <c r="L54" s="19">
        <f>J54-K54</f>
        <v/>
      </c>
      <c r="M54" s="16">
        <f>IF(L54&gt;15, "BREACH", "SLA MET")</f>
        <v/>
      </c>
    </row>
    <row r="55">
      <c r="B55" s="16" t="inlineStr">
        <is>
          <t>PTR-2026-10051</t>
        </is>
      </c>
      <c r="C55" s="16" t="inlineStr">
        <is>
          <t>Market 3</t>
        </is>
      </c>
      <c r="D55" s="16" t="inlineStr">
        <is>
          <t>Protocol 3 (Call-in Dispatch)</t>
        </is>
      </c>
      <c r="E55" s="16" t="inlineStr">
        <is>
          <t>Salads &amp; Bowls</t>
        </is>
      </c>
      <c r="F55" s="16" t="n">
        <v>6</v>
      </c>
      <c r="G55" s="19" t="n">
        <v>26.2</v>
      </c>
      <c r="H55" s="19" t="n">
        <v>21.7</v>
      </c>
      <c r="I55" s="19" t="n">
        <v>14.2</v>
      </c>
      <c r="J55" s="19">
        <f>G55+H55+I55</f>
        <v/>
      </c>
      <c r="K55" s="19" t="n">
        <v>32</v>
      </c>
      <c r="L55" s="19">
        <f>J55-K55</f>
        <v/>
      </c>
      <c r="M55" s="16">
        <f>IF(L55&gt;15, "BREACH", "SLA MET")</f>
        <v/>
      </c>
    </row>
    <row r="56">
      <c r="B56" s="16" t="inlineStr">
        <is>
          <t>PTR-2026-10052</t>
        </is>
      </c>
      <c r="C56" s="16" t="inlineStr">
        <is>
          <t>Market 2</t>
        </is>
      </c>
      <c r="D56" s="16" t="inlineStr">
        <is>
          <t>Protocol 1 (Direct POS)</t>
        </is>
      </c>
      <c r="E56" s="16" t="inlineStr">
        <is>
          <t>Fast Food Burgers</t>
        </is>
      </c>
      <c r="F56" s="16" t="n">
        <v>5</v>
      </c>
      <c r="G56" s="19" t="n">
        <v>23.7</v>
      </c>
      <c r="H56" s="19" t="n">
        <v>6.1</v>
      </c>
      <c r="I56" s="19" t="n">
        <v>12.5</v>
      </c>
      <c r="J56" s="19">
        <f>G56+H56+I56</f>
        <v/>
      </c>
      <c r="K56" s="19" t="n">
        <v>32</v>
      </c>
      <c r="L56" s="19">
        <f>J56-K56</f>
        <v/>
      </c>
      <c r="M56" s="16">
        <f>IF(L56&gt;15, "BREACH", "SLA MET")</f>
        <v/>
      </c>
    </row>
    <row r="57">
      <c r="B57" s="16" t="inlineStr">
        <is>
          <t>PTR-2026-10053</t>
        </is>
      </c>
      <c r="C57" s="16" t="inlineStr">
        <is>
          <t>Market 2</t>
        </is>
      </c>
      <c r="D57" s="16" t="inlineStr">
        <is>
          <t>Protocol 1 (Direct POS)</t>
        </is>
      </c>
      <c r="E57" s="16" t="inlineStr">
        <is>
          <t>Asian / Chinese</t>
        </is>
      </c>
      <c r="F57" s="16" t="n">
        <v>7</v>
      </c>
      <c r="G57" s="19" t="n">
        <v>31.2</v>
      </c>
      <c r="H57" s="19" t="n">
        <v>8.4</v>
      </c>
      <c r="I57" s="19" t="n">
        <v>14.4</v>
      </c>
      <c r="J57" s="19">
        <f>G57+H57+I57</f>
        <v/>
      </c>
      <c r="K57" s="19" t="n">
        <v>32</v>
      </c>
      <c r="L57" s="19">
        <f>J57-K57</f>
        <v/>
      </c>
      <c r="M57" s="16">
        <f>IF(L57&gt;15, "BREACH", "SLA MET")</f>
        <v/>
      </c>
    </row>
    <row r="58">
      <c r="B58" s="16" t="inlineStr">
        <is>
          <t>PTR-2026-10054</t>
        </is>
      </c>
      <c r="C58" s="16" t="inlineStr">
        <is>
          <t>Market 2</t>
        </is>
      </c>
      <c r="D58" s="16" t="inlineStr">
        <is>
          <t>Protocol 1 (Direct POS)</t>
        </is>
      </c>
      <c r="E58" s="16" t="inlineStr">
        <is>
          <t>Italian / Artisanal Pizza</t>
        </is>
      </c>
      <c r="F58" s="16" t="n">
        <v>6</v>
      </c>
      <c r="G58" s="19" t="n">
        <v>27.1</v>
      </c>
      <c r="H58" s="19" t="n">
        <v>10</v>
      </c>
      <c r="I58" s="19" t="n">
        <v>12.5</v>
      </c>
      <c r="J58" s="19">
        <f>G58+H58+I58</f>
        <v/>
      </c>
      <c r="K58" s="19" t="n">
        <v>32</v>
      </c>
      <c r="L58" s="19">
        <f>J58-K58</f>
        <v/>
      </c>
      <c r="M58" s="16">
        <f>IF(L58&gt;15, "BREACH", "SLA MET")</f>
        <v/>
      </c>
    </row>
    <row r="59">
      <c r="B59" s="16" t="inlineStr">
        <is>
          <t>PTR-2026-10055</t>
        </is>
      </c>
      <c r="C59" s="16" t="inlineStr">
        <is>
          <t>Market 3</t>
        </is>
      </c>
      <c r="D59" s="16" t="inlineStr">
        <is>
          <t>Protocol 3 (Call-in Dispatch)</t>
        </is>
      </c>
      <c r="E59" s="16" t="inlineStr">
        <is>
          <t>Asian / Chinese</t>
        </is>
      </c>
      <c r="F59" s="16" t="n">
        <v>6</v>
      </c>
      <c r="G59" s="19" t="n">
        <v>29.8</v>
      </c>
      <c r="H59" s="19" t="n">
        <v>13.5</v>
      </c>
      <c r="I59" s="19" t="n">
        <v>8.699999999999999</v>
      </c>
      <c r="J59" s="19">
        <f>G59+H59+I59</f>
        <v/>
      </c>
      <c r="K59" s="19" t="n">
        <v>32</v>
      </c>
      <c r="L59" s="19">
        <f>J59-K59</f>
        <v/>
      </c>
      <c r="M59" s="16">
        <f>IF(L59&gt;15, "BREACH", "SLA MET")</f>
        <v/>
      </c>
    </row>
    <row r="60">
      <c r="B60" s="16" t="inlineStr">
        <is>
          <t>PTR-2026-10056</t>
        </is>
      </c>
      <c r="C60" s="16" t="inlineStr">
        <is>
          <t>Market 3</t>
        </is>
      </c>
      <c r="D60" s="16" t="inlineStr">
        <is>
          <t>Protocol 3 (Call-in Dispatch)</t>
        </is>
      </c>
      <c r="E60" s="16" t="inlineStr">
        <is>
          <t>Fast Food Burgers</t>
        </is>
      </c>
      <c r="F60" s="16" t="n">
        <v>7</v>
      </c>
      <c r="G60" s="19" t="n">
        <v>23.4</v>
      </c>
      <c r="H60" s="19" t="n">
        <v>22.6</v>
      </c>
      <c r="I60" s="19" t="n">
        <v>8.5</v>
      </c>
      <c r="J60" s="19">
        <f>G60+H60+I60</f>
        <v/>
      </c>
      <c r="K60" s="19" t="n">
        <v>32</v>
      </c>
      <c r="L60" s="19">
        <f>J60-K60</f>
        <v/>
      </c>
      <c r="M60" s="16">
        <f>IF(L60&gt;15, "BREACH", "SLA MET")</f>
        <v/>
      </c>
    </row>
    <row r="61">
      <c r="B61" s="16" t="inlineStr">
        <is>
          <t>PTR-2026-10057</t>
        </is>
      </c>
      <c r="C61" s="16" t="inlineStr">
        <is>
          <t>Market 2</t>
        </is>
      </c>
      <c r="D61" s="16" t="inlineStr">
        <is>
          <t>Protocol 1 (Direct POS)</t>
        </is>
      </c>
      <c r="E61" s="16" t="inlineStr">
        <is>
          <t>Indian Curries &amp; Biryani</t>
        </is>
      </c>
      <c r="F61" s="16" t="n">
        <v>2</v>
      </c>
      <c r="G61" s="19" t="n">
        <v>24.2</v>
      </c>
      <c r="H61" s="19" t="n">
        <v>3.7</v>
      </c>
      <c r="I61" s="19" t="n">
        <v>9.9</v>
      </c>
      <c r="J61" s="19">
        <f>G61+H61+I61</f>
        <v/>
      </c>
      <c r="K61" s="19" t="n">
        <v>32</v>
      </c>
      <c r="L61" s="19">
        <f>J61-K61</f>
        <v/>
      </c>
      <c r="M61" s="16">
        <f>IF(L61&gt;15, "BREACH", "SLA MET")</f>
        <v/>
      </c>
    </row>
    <row r="62">
      <c r="B62" s="16" t="inlineStr">
        <is>
          <t>PTR-2026-10058</t>
        </is>
      </c>
      <c r="C62" s="16" t="inlineStr">
        <is>
          <t>Market 4</t>
        </is>
      </c>
      <c r="D62" s="16" t="inlineStr">
        <is>
          <t>Protocol 1 (Direct POS)</t>
        </is>
      </c>
      <c r="E62" s="16" t="inlineStr">
        <is>
          <t>Italian / Artisanal Pizza</t>
        </is>
      </c>
      <c r="F62" s="16" t="n">
        <v>1</v>
      </c>
      <c r="G62" s="19" t="n">
        <v>24.1</v>
      </c>
      <c r="H62" s="19" t="n">
        <v>11</v>
      </c>
      <c r="I62" s="19" t="n">
        <v>6.8</v>
      </c>
      <c r="J62" s="19">
        <f>G62+H62+I62</f>
        <v/>
      </c>
      <c r="K62" s="19" t="n">
        <v>32</v>
      </c>
      <c r="L62" s="19">
        <f>J62-K62</f>
        <v/>
      </c>
      <c r="M62" s="16">
        <f>IF(L62&gt;15, "BREACH", "SLA MET")</f>
        <v/>
      </c>
    </row>
    <row r="63">
      <c r="B63" s="16" t="inlineStr">
        <is>
          <t>PTR-2026-10059</t>
        </is>
      </c>
      <c r="C63" s="16" t="inlineStr">
        <is>
          <t>Market 2</t>
        </is>
      </c>
      <c r="D63" s="16" t="inlineStr">
        <is>
          <t>Protocol 1 (Direct POS)</t>
        </is>
      </c>
      <c r="E63" s="16" t="inlineStr">
        <is>
          <t>Fast Food Burgers</t>
        </is>
      </c>
      <c r="F63" s="16" t="n">
        <v>5</v>
      </c>
      <c r="G63" s="19" t="n">
        <v>26.4</v>
      </c>
      <c r="H63" s="19" t="n">
        <v>8</v>
      </c>
      <c r="I63" s="19" t="n">
        <v>15.2</v>
      </c>
      <c r="J63" s="19">
        <f>G63+H63+I63</f>
        <v/>
      </c>
      <c r="K63" s="19" t="n">
        <v>32</v>
      </c>
      <c r="L63" s="19">
        <f>J63-K63</f>
        <v/>
      </c>
      <c r="M63" s="16">
        <f>IF(L63&gt;15, "BREACH", "SLA MET")</f>
        <v/>
      </c>
    </row>
    <row r="64">
      <c r="B64" s="16" t="inlineStr">
        <is>
          <t>PTR-2026-10060</t>
        </is>
      </c>
      <c r="C64" s="16" t="inlineStr">
        <is>
          <t>Market 2</t>
        </is>
      </c>
      <c r="D64" s="16" t="inlineStr">
        <is>
          <t>Protocol 4 (Manual Tablet)</t>
        </is>
      </c>
      <c r="E64" s="16" t="inlineStr">
        <is>
          <t>Fast Food Burgers</t>
        </is>
      </c>
      <c r="F64" s="16" t="n">
        <v>5</v>
      </c>
      <c r="G64" s="19" t="n">
        <v>27.3</v>
      </c>
      <c r="H64" s="19" t="n">
        <v>15.6</v>
      </c>
      <c r="I64" s="19" t="n">
        <v>10.3</v>
      </c>
      <c r="J64" s="19">
        <f>G64+H64+I64</f>
        <v/>
      </c>
      <c r="K64" s="19" t="n">
        <v>32</v>
      </c>
      <c r="L64" s="19">
        <f>J64-K64</f>
        <v/>
      </c>
      <c r="M64" s="16">
        <f>IF(L64&gt;15, "BREACH", "SLA MET")</f>
        <v/>
      </c>
    </row>
    <row r="65">
      <c r="B65" s="16" t="inlineStr">
        <is>
          <t>PTR-2026-10061</t>
        </is>
      </c>
      <c r="C65" s="16" t="inlineStr">
        <is>
          <t>Market 1</t>
        </is>
      </c>
      <c r="D65" s="16" t="inlineStr">
        <is>
          <t>Protocol 3 (Call-in Dispatch)</t>
        </is>
      </c>
      <c r="E65" s="16" t="inlineStr">
        <is>
          <t>Italian / Artisanal Pizza</t>
        </is>
      </c>
      <c r="F65" s="16" t="n">
        <v>3</v>
      </c>
      <c r="G65" s="19" t="n">
        <v>20.8</v>
      </c>
      <c r="H65" s="19" t="n">
        <v>20.3</v>
      </c>
      <c r="I65" s="19" t="n">
        <v>10.2</v>
      </c>
      <c r="J65" s="19">
        <f>G65+H65+I65</f>
        <v/>
      </c>
      <c r="K65" s="19" t="n">
        <v>32</v>
      </c>
      <c r="L65" s="19">
        <f>J65-K65</f>
        <v/>
      </c>
      <c r="M65" s="16">
        <f>IF(L65&gt;15, "BREACH", "SLA MET")</f>
        <v/>
      </c>
    </row>
    <row r="66">
      <c r="B66" s="16" t="inlineStr">
        <is>
          <t>PTR-2026-10062</t>
        </is>
      </c>
      <c r="C66" s="16" t="inlineStr">
        <is>
          <t>Market 4</t>
        </is>
      </c>
      <c r="D66" s="16" t="inlineStr">
        <is>
          <t>Protocol 1 (Direct POS)</t>
        </is>
      </c>
      <c r="E66" s="16" t="inlineStr">
        <is>
          <t>Salads &amp; Bowls</t>
        </is>
      </c>
      <c r="F66" s="16" t="n">
        <v>1</v>
      </c>
      <c r="G66" s="19" t="n">
        <v>21.8</v>
      </c>
      <c r="H66" s="19" t="n">
        <v>10.8</v>
      </c>
      <c r="I66" s="19" t="n">
        <v>11.1</v>
      </c>
      <c r="J66" s="19">
        <f>G66+H66+I66</f>
        <v/>
      </c>
      <c r="K66" s="19" t="n">
        <v>32</v>
      </c>
      <c r="L66" s="19">
        <f>J66-K66</f>
        <v/>
      </c>
      <c r="M66" s="16">
        <f>IF(L66&gt;15, "BREACH", "SLA MET")</f>
        <v/>
      </c>
    </row>
    <row r="67">
      <c r="B67" s="16" t="inlineStr">
        <is>
          <t>PTR-2026-10063</t>
        </is>
      </c>
      <c r="C67" s="16" t="inlineStr">
        <is>
          <t>Market 3</t>
        </is>
      </c>
      <c r="D67" s="16" t="inlineStr">
        <is>
          <t>Protocol 3 (Call-in Dispatch)</t>
        </is>
      </c>
      <c r="E67" s="16" t="inlineStr">
        <is>
          <t>Asian / Chinese</t>
        </is>
      </c>
      <c r="F67" s="16" t="n">
        <v>5</v>
      </c>
      <c r="G67" s="19" t="n">
        <v>24.5</v>
      </c>
      <c r="H67" s="19" t="n">
        <v>20.3</v>
      </c>
      <c r="I67" s="19" t="n">
        <v>8.699999999999999</v>
      </c>
      <c r="J67" s="19">
        <f>G67+H67+I67</f>
        <v/>
      </c>
      <c r="K67" s="19" t="n">
        <v>32</v>
      </c>
      <c r="L67" s="19">
        <f>J67-K67</f>
        <v/>
      </c>
      <c r="M67" s="16">
        <f>IF(L67&gt;15, "BREACH", "SLA MET")</f>
        <v/>
      </c>
    </row>
    <row r="68">
      <c r="B68" s="16" t="inlineStr">
        <is>
          <t>PTR-2026-10064</t>
        </is>
      </c>
      <c r="C68" s="16" t="inlineStr">
        <is>
          <t>Market 2</t>
        </is>
      </c>
      <c r="D68" s="16" t="inlineStr">
        <is>
          <t>Protocol 1 (Direct POS)</t>
        </is>
      </c>
      <c r="E68" s="16" t="inlineStr">
        <is>
          <t>Salads &amp; Bowls</t>
        </is>
      </c>
      <c r="F68" s="16" t="n">
        <v>6</v>
      </c>
      <c r="G68" s="19" t="n">
        <v>24.5</v>
      </c>
      <c r="H68" s="19" t="n">
        <v>7.1</v>
      </c>
      <c r="I68" s="19" t="n">
        <v>14.4</v>
      </c>
      <c r="J68" s="19">
        <f>G68+H68+I68</f>
        <v/>
      </c>
      <c r="K68" s="19" t="n">
        <v>32</v>
      </c>
      <c r="L68" s="19">
        <f>J68-K68</f>
        <v/>
      </c>
      <c r="M68" s="16">
        <f>IF(L68&gt;15, "BREACH", "SLA MET")</f>
        <v/>
      </c>
    </row>
    <row r="69">
      <c r="B69" s="16" t="inlineStr">
        <is>
          <t>PTR-2026-10065</t>
        </is>
      </c>
      <c r="C69" s="16" t="inlineStr">
        <is>
          <t>Market 2</t>
        </is>
      </c>
      <c r="D69" s="16" t="inlineStr">
        <is>
          <t>Protocol 1 (Direct POS)</t>
        </is>
      </c>
      <c r="E69" s="16" t="inlineStr">
        <is>
          <t>Indian Curries &amp; Biryani</t>
        </is>
      </c>
      <c r="F69" s="16" t="n">
        <v>2</v>
      </c>
      <c r="G69" s="19" t="n">
        <v>32.2</v>
      </c>
      <c r="H69" s="19" t="n">
        <v>6.5</v>
      </c>
      <c r="I69" s="19" t="n">
        <v>16.1</v>
      </c>
      <c r="J69" s="19">
        <f>G69+H69+I69</f>
        <v/>
      </c>
      <c r="K69" s="19" t="n">
        <v>32</v>
      </c>
      <c r="L69" s="19">
        <f>J69-K69</f>
        <v/>
      </c>
      <c r="M69" s="16">
        <f>IF(L69&gt;15, "BREACH", "SLA MET")</f>
        <v/>
      </c>
    </row>
    <row r="70">
      <c r="B70" s="16" t="inlineStr">
        <is>
          <t>PTR-2026-10066</t>
        </is>
      </c>
      <c r="C70" s="16" t="inlineStr">
        <is>
          <t>Market 4</t>
        </is>
      </c>
      <c r="D70" s="16" t="inlineStr">
        <is>
          <t>Protocol 3 (Call-in Dispatch)</t>
        </is>
      </c>
      <c r="E70" s="16" t="inlineStr">
        <is>
          <t>Fast Food Burgers</t>
        </is>
      </c>
      <c r="F70" s="16" t="n">
        <v>1</v>
      </c>
      <c r="G70" s="19" t="n">
        <v>17.7</v>
      </c>
      <c r="H70" s="19" t="n">
        <v>14.9</v>
      </c>
      <c r="I70" s="19" t="n">
        <v>16.8</v>
      </c>
      <c r="J70" s="19">
        <f>G70+H70+I70</f>
        <v/>
      </c>
      <c r="K70" s="19" t="n">
        <v>32</v>
      </c>
      <c r="L70" s="19">
        <f>J70-K70</f>
        <v/>
      </c>
      <c r="M70" s="16">
        <f>IF(L70&gt;15, "BREACH", "SLA MET")</f>
        <v/>
      </c>
    </row>
    <row r="71">
      <c r="B71" s="16" t="inlineStr">
        <is>
          <t>PTR-2026-10067</t>
        </is>
      </c>
      <c r="C71" s="16" t="inlineStr">
        <is>
          <t>Market 4</t>
        </is>
      </c>
      <c r="D71" s="16" t="inlineStr">
        <is>
          <t>Protocol 3 (Call-in Dispatch)</t>
        </is>
      </c>
      <c r="E71" s="16" t="inlineStr">
        <is>
          <t>Indian Curries &amp; Biryani</t>
        </is>
      </c>
      <c r="F71" s="16" t="n">
        <v>3</v>
      </c>
      <c r="G71" s="19" t="n">
        <v>25.3</v>
      </c>
      <c r="H71" s="19" t="n">
        <v>15.5</v>
      </c>
      <c r="I71" s="19" t="n">
        <v>6.2</v>
      </c>
      <c r="J71" s="19">
        <f>G71+H71+I71</f>
        <v/>
      </c>
      <c r="K71" s="19" t="n">
        <v>32</v>
      </c>
      <c r="L71" s="19">
        <f>J71-K71</f>
        <v/>
      </c>
      <c r="M71" s="16">
        <f>IF(L71&gt;15, "BREACH", "SLA MET")</f>
        <v/>
      </c>
    </row>
    <row r="72">
      <c r="B72" s="16" t="inlineStr">
        <is>
          <t>PTR-2026-10068</t>
        </is>
      </c>
      <c r="C72" s="16" t="inlineStr">
        <is>
          <t>Market 4</t>
        </is>
      </c>
      <c r="D72" s="16" t="inlineStr">
        <is>
          <t>Protocol 4 (Manual Tablet)</t>
        </is>
      </c>
      <c r="E72" s="16" t="inlineStr">
        <is>
          <t>Salads &amp; Bowls</t>
        </is>
      </c>
      <c r="F72" s="16" t="n">
        <v>1</v>
      </c>
      <c r="G72" s="19" t="n">
        <v>22.6</v>
      </c>
      <c r="H72" s="19" t="n">
        <v>20.7</v>
      </c>
      <c r="I72" s="19" t="n">
        <v>10.7</v>
      </c>
      <c r="J72" s="19">
        <f>G72+H72+I72</f>
        <v/>
      </c>
      <c r="K72" s="19" t="n">
        <v>32</v>
      </c>
      <c r="L72" s="19">
        <f>J72-K72</f>
        <v/>
      </c>
      <c r="M72" s="16">
        <f>IF(L72&gt;15, "BREACH", "SLA MET")</f>
        <v/>
      </c>
    </row>
    <row r="73">
      <c r="B73" s="16" t="inlineStr">
        <is>
          <t>PTR-2026-10069</t>
        </is>
      </c>
      <c r="C73" s="16" t="inlineStr">
        <is>
          <t>Market 2</t>
        </is>
      </c>
      <c r="D73" s="16" t="inlineStr">
        <is>
          <t>Protocol 3 (Call-in Dispatch)</t>
        </is>
      </c>
      <c r="E73" s="16" t="inlineStr">
        <is>
          <t>Fast Food Burgers</t>
        </is>
      </c>
      <c r="F73" s="16" t="n">
        <v>1</v>
      </c>
      <c r="G73" s="19" t="n">
        <v>17.4</v>
      </c>
      <c r="H73" s="19" t="n">
        <v>18.7</v>
      </c>
      <c r="I73" s="19" t="n">
        <v>12.5</v>
      </c>
      <c r="J73" s="19">
        <f>G73+H73+I73</f>
        <v/>
      </c>
      <c r="K73" s="19" t="n">
        <v>32</v>
      </c>
      <c r="L73" s="19">
        <f>J73-K73</f>
        <v/>
      </c>
      <c r="M73" s="16">
        <f>IF(L73&gt;15, "BREACH", "SLA MET")</f>
        <v/>
      </c>
    </row>
    <row r="74">
      <c r="B74" s="16" t="inlineStr">
        <is>
          <t>PTR-2026-10070</t>
        </is>
      </c>
      <c r="C74" s="16" t="inlineStr">
        <is>
          <t>Market 3</t>
        </is>
      </c>
      <c r="D74" s="16" t="inlineStr">
        <is>
          <t>Protocol 3 (Call-in Dispatch)</t>
        </is>
      </c>
      <c r="E74" s="16" t="inlineStr">
        <is>
          <t>Asian / Chinese</t>
        </is>
      </c>
      <c r="F74" s="16" t="n">
        <v>6</v>
      </c>
      <c r="G74" s="19" t="n">
        <v>21</v>
      </c>
      <c r="H74" s="19" t="n">
        <v>12.8</v>
      </c>
      <c r="I74" s="19" t="n">
        <v>12.2</v>
      </c>
      <c r="J74" s="19">
        <f>G74+H74+I74</f>
        <v/>
      </c>
      <c r="K74" s="19" t="n">
        <v>32</v>
      </c>
      <c r="L74" s="19">
        <f>J74-K74</f>
        <v/>
      </c>
      <c r="M74" s="16">
        <f>IF(L74&gt;15, "BREACH", "SLA MET")</f>
        <v/>
      </c>
    </row>
    <row r="75">
      <c r="B75" s="16" t="inlineStr">
        <is>
          <t>PTR-2026-10071</t>
        </is>
      </c>
      <c r="C75" s="16" t="inlineStr">
        <is>
          <t>Market 2</t>
        </is>
      </c>
      <c r="D75" s="16" t="inlineStr">
        <is>
          <t>Protocol 1 (Direct POS)</t>
        </is>
      </c>
      <c r="E75" s="16" t="inlineStr">
        <is>
          <t>Fast Food Burgers</t>
        </is>
      </c>
      <c r="F75" s="16" t="n">
        <v>6</v>
      </c>
      <c r="G75" s="19" t="n">
        <v>23.6</v>
      </c>
      <c r="H75" s="19" t="n">
        <v>7.8</v>
      </c>
      <c r="I75" s="19" t="n">
        <v>11.3</v>
      </c>
      <c r="J75" s="19">
        <f>G75+H75+I75</f>
        <v/>
      </c>
      <c r="K75" s="19" t="n">
        <v>32</v>
      </c>
      <c r="L75" s="19">
        <f>J75-K75</f>
        <v/>
      </c>
      <c r="M75" s="16">
        <f>IF(L75&gt;15, "BREACH", "SLA MET")</f>
        <v/>
      </c>
    </row>
    <row r="76">
      <c r="B76" s="16" t="inlineStr">
        <is>
          <t>PTR-2026-10072</t>
        </is>
      </c>
      <c r="C76" s="16" t="inlineStr">
        <is>
          <t>Market 3</t>
        </is>
      </c>
      <c r="D76" s="16" t="inlineStr">
        <is>
          <t>Protocol 3 (Call-in Dispatch)</t>
        </is>
      </c>
      <c r="E76" s="16" t="inlineStr">
        <is>
          <t>Indian Curries &amp; Biryani</t>
        </is>
      </c>
      <c r="F76" s="16" t="n">
        <v>5</v>
      </c>
      <c r="G76" s="19" t="n">
        <v>32.7</v>
      </c>
      <c r="H76" s="19" t="n">
        <v>15</v>
      </c>
      <c r="I76" s="19" t="n">
        <v>8.5</v>
      </c>
      <c r="J76" s="19">
        <f>G76+H76+I76</f>
        <v/>
      </c>
      <c r="K76" s="19" t="n">
        <v>32</v>
      </c>
      <c r="L76" s="19">
        <f>J76-K76</f>
        <v/>
      </c>
      <c r="M76" s="16">
        <f>IF(L76&gt;15, "BREACH", "SLA MET")</f>
        <v/>
      </c>
    </row>
    <row r="77">
      <c r="B77" s="16" t="inlineStr">
        <is>
          <t>PTR-2026-10073</t>
        </is>
      </c>
      <c r="C77" s="16" t="inlineStr">
        <is>
          <t>Market 2</t>
        </is>
      </c>
      <c r="D77" s="16" t="inlineStr">
        <is>
          <t>Protocol 1 (Direct POS)</t>
        </is>
      </c>
      <c r="E77" s="16" t="inlineStr">
        <is>
          <t>Italian / Artisanal Pizza</t>
        </is>
      </c>
      <c r="F77" s="16" t="n">
        <v>5</v>
      </c>
      <c r="G77" s="19" t="n">
        <v>21.8</v>
      </c>
      <c r="H77" s="19" t="n">
        <v>5.7</v>
      </c>
      <c r="I77" s="19" t="n">
        <v>13.3</v>
      </c>
      <c r="J77" s="19">
        <f>G77+H77+I77</f>
        <v/>
      </c>
      <c r="K77" s="19" t="n">
        <v>32</v>
      </c>
      <c r="L77" s="19">
        <f>J77-K77</f>
        <v/>
      </c>
      <c r="M77" s="16">
        <f>IF(L77&gt;15, "BREACH", "SLA MET")</f>
        <v/>
      </c>
    </row>
    <row r="78">
      <c r="B78" s="16" t="inlineStr">
        <is>
          <t>PTR-2026-10074</t>
        </is>
      </c>
      <c r="C78" s="16" t="inlineStr">
        <is>
          <t>Market 1</t>
        </is>
      </c>
      <c r="D78" s="16" t="inlineStr">
        <is>
          <t>Protocol 1 (Direct POS)</t>
        </is>
      </c>
      <c r="E78" s="16" t="inlineStr">
        <is>
          <t>Italian / Artisanal Pizza</t>
        </is>
      </c>
      <c r="F78" s="16" t="n">
        <v>7</v>
      </c>
      <c r="G78" s="19" t="n">
        <v>18.8</v>
      </c>
      <c r="H78" s="19" t="n">
        <v>4.2</v>
      </c>
      <c r="I78" s="19" t="n">
        <v>11</v>
      </c>
      <c r="J78" s="19">
        <f>G78+H78+I78</f>
        <v/>
      </c>
      <c r="K78" s="19" t="n">
        <v>32</v>
      </c>
      <c r="L78" s="19">
        <f>J78-K78</f>
        <v/>
      </c>
      <c r="M78" s="16">
        <f>IF(L78&gt;15, "BREACH", "SLA MET")</f>
        <v/>
      </c>
    </row>
    <row r="79">
      <c r="B79" s="16" t="inlineStr">
        <is>
          <t>PTR-2026-10075</t>
        </is>
      </c>
      <c r="C79" s="16" t="inlineStr">
        <is>
          <t>Market 3</t>
        </is>
      </c>
      <c r="D79" s="16" t="inlineStr">
        <is>
          <t>Protocol 4 (Manual Tablet)</t>
        </is>
      </c>
      <c r="E79" s="16" t="inlineStr">
        <is>
          <t>Asian / Chinese</t>
        </is>
      </c>
      <c r="F79" s="16" t="n">
        <v>1</v>
      </c>
      <c r="G79" s="19" t="n">
        <v>20.5</v>
      </c>
      <c r="H79" s="19" t="n">
        <v>14.8</v>
      </c>
      <c r="I79" s="19" t="n">
        <v>8.699999999999999</v>
      </c>
      <c r="J79" s="19">
        <f>G79+H79+I79</f>
        <v/>
      </c>
      <c r="K79" s="19" t="n">
        <v>32</v>
      </c>
      <c r="L79" s="19">
        <f>J79-K79</f>
        <v/>
      </c>
      <c r="M79" s="16">
        <f>IF(L79&gt;15, "BREACH", "SLA MET")</f>
        <v/>
      </c>
    </row>
    <row r="80">
      <c r="B80" s="16" t="inlineStr">
        <is>
          <t>PTR-2026-10076</t>
        </is>
      </c>
      <c r="C80" s="16" t="inlineStr">
        <is>
          <t>Market 2</t>
        </is>
      </c>
      <c r="D80" s="16" t="inlineStr">
        <is>
          <t>Protocol 1 (Direct POS)</t>
        </is>
      </c>
      <c r="E80" s="16" t="inlineStr">
        <is>
          <t>Indian Curries &amp; Biryani</t>
        </is>
      </c>
      <c r="F80" s="16" t="n">
        <v>4</v>
      </c>
      <c r="G80" s="19" t="n">
        <v>28.8</v>
      </c>
      <c r="H80" s="19" t="n">
        <v>4.4</v>
      </c>
      <c r="I80" s="19" t="n">
        <v>7.7</v>
      </c>
      <c r="J80" s="19">
        <f>G80+H80+I80</f>
        <v/>
      </c>
      <c r="K80" s="19" t="n">
        <v>32</v>
      </c>
      <c r="L80" s="19">
        <f>J80-K80</f>
        <v/>
      </c>
      <c r="M80" s="16">
        <f>IF(L80&gt;15, "BREACH", "SLA MET")</f>
        <v/>
      </c>
    </row>
    <row r="81">
      <c r="B81" s="16" t="inlineStr">
        <is>
          <t>PTR-2026-10077</t>
        </is>
      </c>
      <c r="C81" s="16" t="inlineStr">
        <is>
          <t>Market 1</t>
        </is>
      </c>
      <c r="D81" s="16" t="inlineStr">
        <is>
          <t>Protocol 1 (Direct POS)</t>
        </is>
      </c>
      <c r="E81" s="16" t="inlineStr">
        <is>
          <t>Fast Food Burgers</t>
        </is>
      </c>
      <c r="F81" s="16" t="n">
        <v>7</v>
      </c>
      <c r="G81" s="19" t="n">
        <v>29.8</v>
      </c>
      <c r="H81" s="19" t="n">
        <v>7.5</v>
      </c>
      <c r="I81" s="19" t="n">
        <v>9.6</v>
      </c>
      <c r="J81" s="19">
        <f>G81+H81+I81</f>
        <v/>
      </c>
      <c r="K81" s="19" t="n">
        <v>32</v>
      </c>
      <c r="L81" s="19">
        <f>J81-K81</f>
        <v/>
      </c>
      <c r="M81" s="16">
        <f>IF(L81&gt;15, "BREACH", "SLA MET")</f>
        <v/>
      </c>
    </row>
    <row r="82">
      <c r="B82" s="16" t="inlineStr">
        <is>
          <t>PTR-2026-10078</t>
        </is>
      </c>
      <c r="C82" s="16" t="inlineStr">
        <is>
          <t>Market 2</t>
        </is>
      </c>
      <c r="D82" s="16" t="inlineStr">
        <is>
          <t>Protocol 1 (Direct POS)</t>
        </is>
      </c>
      <c r="E82" s="16" t="inlineStr">
        <is>
          <t>Asian / Chinese</t>
        </is>
      </c>
      <c r="F82" s="16" t="n">
        <v>4</v>
      </c>
      <c r="G82" s="19" t="n">
        <v>30</v>
      </c>
      <c r="H82" s="19" t="n">
        <v>4.4</v>
      </c>
      <c r="I82" s="19" t="n">
        <v>10.5</v>
      </c>
      <c r="J82" s="19">
        <f>G82+H82+I82</f>
        <v/>
      </c>
      <c r="K82" s="19" t="n">
        <v>32</v>
      </c>
      <c r="L82" s="19">
        <f>J82-K82</f>
        <v/>
      </c>
      <c r="M82" s="16">
        <f>IF(L82&gt;15, "BREACH", "SLA MET")</f>
        <v/>
      </c>
    </row>
    <row r="83">
      <c r="B83" s="16" t="inlineStr">
        <is>
          <t>PTR-2026-10079</t>
        </is>
      </c>
      <c r="C83" s="16" t="inlineStr">
        <is>
          <t>Market 2</t>
        </is>
      </c>
      <c r="D83" s="16" t="inlineStr">
        <is>
          <t>Protocol 4 (Manual Tablet)</t>
        </is>
      </c>
      <c r="E83" s="16" t="inlineStr">
        <is>
          <t>Salads &amp; Bowls</t>
        </is>
      </c>
      <c r="F83" s="16" t="n">
        <v>1</v>
      </c>
      <c r="G83" s="19" t="n">
        <v>21.2</v>
      </c>
      <c r="H83" s="19" t="n">
        <v>18.3</v>
      </c>
      <c r="I83" s="19" t="n">
        <v>11</v>
      </c>
      <c r="J83" s="19">
        <f>G83+H83+I83</f>
        <v/>
      </c>
      <c r="K83" s="19" t="n">
        <v>32</v>
      </c>
      <c r="L83" s="19">
        <f>J83-K83</f>
        <v/>
      </c>
      <c r="M83" s="16">
        <f>IF(L83&gt;15, "BREACH", "SLA MET")</f>
        <v/>
      </c>
    </row>
    <row r="84">
      <c r="B84" s="16" t="inlineStr">
        <is>
          <t>PTR-2026-10080</t>
        </is>
      </c>
      <c r="C84" s="16" t="inlineStr">
        <is>
          <t>Market 4</t>
        </is>
      </c>
      <c r="D84" s="16" t="inlineStr">
        <is>
          <t>Protocol 3 (Call-in Dispatch)</t>
        </is>
      </c>
      <c r="E84" s="16" t="inlineStr">
        <is>
          <t>Italian / Artisanal Pizza</t>
        </is>
      </c>
      <c r="F84" s="16" t="n">
        <v>4</v>
      </c>
      <c r="G84" s="19" t="n">
        <v>26.8</v>
      </c>
      <c r="H84" s="19" t="n">
        <v>15.4</v>
      </c>
      <c r="I84" s="19" t="n">
        <v>8.800000000000001</v>
      </c>
      <c r="J84" s="19">
        <f>G84+H84+I84</f>
        <v/>
      </c>
      <c r="K84" s="19" t="n">
        <v>32</v>
      </c>
      <c r="L84" s="19">
        <f>J84-K84</f>
        <v/>
      </c>
      <c r="M84" s="16">
        <f>IF(L84&gt;15, "BREACH", "SLA MET")</f>
        <v/>
      </c>
    </row>
    <row r="85">
      <c r="B85" s="16" t="inlineStr">
        <is>
          <t>PTR-2026-10081</t>
        </is>
      </c>
      <c r="C85" s="16" t="inlineStr">
        <is>
          <t>Market 2</t>
        </is>
      </c>
      <c r="D85" s="16" t="inlineStr">
        <is>
          <t>Protocol 3 (Call-in Dispatch)</t>
        </is>
      </c>
      <c r="E85" s="16" t="inlineStr">
        <is>
          <t>Indian Curries &amp; Biryani</t>
        </is>
      </c>
      <c r="F85" s="16" t="n">
        <v>3</v>
      </c>
      <c r="G85" s="19" t="n">
        <v>21.9</v>
      </c>
      <c r="H85" s="19" t="n">
        <v>18.1</v>
      </c>
      <c r="I85" s="19" t="n">
        <v>11.6</v>
      </c>
      <c r="J85" s="19">
        <f>G85+H85+I85</f>
        <v/>
      </c>
      <c r="K85" s="19" t="n">
        <v>32</v>
      </c>
      <c r="L85" s="19">
        <f>J85-K85</f>
        <v/>
      </c>
      <c r="M85" s="16">
        <f>IF(L85&gt;15, "BREACH", "SLA MET")</f>
        <v/>
      </c>
    </row>
    <row r="86">
      <c r="B86" s="16" t="inlineStr">
        <is>
          <t>PTR-2026-10082</t>
        </is>
      </c>
      <c r="C86" s="16" t="inlineStr">
        <is>
          <t>Market 2</t>
        </is>
      </c>
      <c r="D86" s="16" t="inlineStr">
        <is>
          <t>Protocol 1 (Direct POS)</t>
        </is>
      </c>
      <c r="E86" s="16" t="inlineStr">
        <is>
          <t>Italian / Artisanal Pizza</t>
        </is>
      </c>
      <c r="F86" s="16" t="n">
        <v>7</v>
      </c>
      <c r="G86" s="19" t="n">
        <v>25.1</v>
      </c>
      <c r="H86" s="19" t="n">
        <v>6.7</v>
      </c>
      <c r="I86" s="19" t="n">
        <v>15.5</v>
      </c>
      <c r="J86" s="19">
        <f>G86+H86+I86</f>
        <v/>
      </c>
      <c r="K86" s="19" t="n">
        <v>32</v>
      </c>
      <c r="L86" s="19">
        <f>J86-K86</f>
        <v/>
      </c>
      <c r="M86" s="16">
        <f>IF(L86&gt;15, "BREACH", "SLA MET")</f>
        <v/>
      </c>
    </row>
    <row r="87">
      <c r="B87" s="16" t="inlineStr">
        <is>
          <t>PTR-2026-10083</t>
        </is>
      </c>
      <c r="C87" s="16" t="inlineStr">
        <is>
          <t>Market 3</t>
        </is>
      </c>
      <c r="D87" s="16" t="inlineStr">
        <is>
          <t>Protocol 1 (Direct POS)</t>
        </is>
      </c>
      <c r="E87" s="16" t="inlineStr">
        <is>
          <t>Italian / Artisanal Pizza</t>
        </is>
      </c>
      <c r="F87" s="16" t="n">
        <v>6</v>
      </c>
      <c r="G87" s="19" t="n">
        <v>28.6</v>
      </c>
      <c r="H87" s="19" t="n">
        <v>3.5</v>
      </c>
      <c r="I87" s="19" t="n">
        <v>10.7</v>
      </c>
      <c r="J87" s="19">
        <f>G87+H87+I87</f>
        <v/>
      </c>
      <c r="K87" s="19" t="n">
        <v>32</v>
      </c>
      <c r="L87" s="19">
        <f>J87-K87</f>
        <v/>
      </c>
      <c r="M87" s="16">
        <f>IF(L87&gt;15, "BREACH", "SLA MET")</f>
        <v/>
      </c>
    </row>
    <row r="88">
      <c r="B88" s="16" t="inlineStr">
        <is>
          <t>PTR-2026-10084</t>
        </is>
      </c>
      <c r="C88" s="16" t="inlineStr">
        <is>
          <t>Market 4</t>
        </is>
      </c>
      <c r="D88" s="16" t="inlineStr">
        <is>
          <t>Protocol 1 (Direct POS)</t>
        </is>
      </c>
      <c r="E88" s="16" t="inlineStr">
        <is>
          <t>Salads &amp; Bowls</t>
        </is>
      </c>
      <c r="F88" s="16" t="n">
        <v>5</v>
      </c>
      <c r="G88" s="19" t="n">
        <v>29.4</v>
      </c>
      <c r="H88" s="19" t="n">
        <v>4.6</v>
      </c>
      <c r="I88" s="19" t="n">
        <v>8</v>
      </c>
      <c r="J88" s="19">
        <f>G88+H88+I88</f>
        <v/>
      </c>
      <c r="K88" s="19" t="n">
        <v>32</v>
      </c>
      <c r="L88" s="19">
        <f>J88-K88</f>
        <v/>
      </c>
      <c r="M88" s="16">
        <f>IF(L88&gt;15, "BREACH", "SLA MET")</f>
        <v/>
      </c>
    </row>
    <row r="89">
      <c r="B89" s="16" t="inlineStr">
        <is>
          <t>PTR-2026-10085</t>
        </is>
      </c>
      <c r="C89" s="16" t="inlineStr">
        <is>
          <t>Market 4</t>
        </is>
      </c>
      <c r="D89" s="16" t="inlineStr">
        <is>
          <t>Protocol 3 (Call-in Dispatch)</t>
        </is>
      </c>
      <c r="E89" s="16" t="inlineStr">
        <is>
          <t>Italian / Artisanal Pizza</t>
        </is>
      </c>
      <c r="F89" s="16" t="n">
        <v>4</v>
      </c>
      <c r="G89" s="19" t="n">
        <v>27.7</v>
      </c>
      <c r="H89" s="19" t="n">
        <v>14</v>
      </c>
      <c r="I89" s="19" t="n">
        <v>12.1</v>
      </c>
      <c r="J89" s="19">
        <f>G89+H89+I89</f>
        <v/>
      </c>
      <c r="K89" s="19" t="n">
        <v>32</v>
      </c>
      <c r="L89" s="19">
        <f>J89-K89</f>
        <v/>
      </c>
      <c r="M89" s="16">
        <f>IF(L89&gt;15, "BREACH", "SLA MET")</f>
        <v/>
      </c>
    </row>
    <row r="90">
      <c r="B90" s="16" t="inlineStr">
        <is>
          <t>PTR-2026-10086</t>
        </is>
      </c>
      <c r="C90" s="16" t="inlineStr">
        <is>
          <t>Market 2</t>
        </is>
      </c>
      <c r="D90" s="16" t="inlineStr">
        <is>
          <t>Protocol 3 (Call-in Dispatch)</t>
        </is>
      </c>
      <c r="E90" s="16" t="inlineStr">
        <is>
          <t>Fast Food Burgers</t>
        </is>
      </c>
      <c r="F90" s="16" t="n">
        <v>3</v>
      </c>
      <c r="G90" s="19" t="n">
        <v>11.7</v>
      </c>
      <c r="H90" s="19" t="n">
        <v>16.1</v>
      </c>
      <c r="I90" s="19" t="n">
        <v>12.2</v>
      </c>
      <c r="J90" s="19">
        <f>G90+H90+I90</f>
        <v/>
      </c>
      <c r="K90" s="19" t="n">
        <v>32</v>
      </c>
      <c r="L90" s="19">
        <f>J90-K90</f>
        <v/>
      </c>
      <c r="M90" s="16">
        <f>IF(L90&gt;15, "BREACH", "SLA MET")</f>
        <v/>
      </c>
    </row>
    <row r="91">
      <c r="B91" s="16" t="inlineStr">
        <is>
          <t>PTR-2026-10087</t>
        </is>
      </c>
      <c r="C91" s="16" t="inlineStr">
        <is>
          <t>Market 2</t>
        </is>
      </c>
      <c r="D91" s="16" t="inlineStr">
        <is>
          <t>Protocol 1 (Direct POS)</t>
        </is>
      </c>
      <c r="E91" s="16" t="inlineStr">
        <is>
          <t>Salads &amp; Bowls</t>
        </is>
      </c>
      <c r="F91" s="16" t="n">
        <v>2</v>
      </c>
      <c r="G91" s="19" t="n">
        <v>21</v>
      </c>
      <c r="H91" s="19" t="n">
        <v>4.6</v>
      </c>
      <c r="I91" s="19" t="n">
        <v>15.3</v>
      </c>
      <c r="J91" s="19">
        <f>G91+H91+I91</f>
        <v/>
      </c>
      <c r="K91" s="19" t="n">
        <v>32</v>
      </c>
      <c r="L91" s="19">
        <f>J91-K91</f>
        <v/>
      </c>
      <c r="M91" s="16">
        <f>IF(L91&gt;15, "BREACH", "SLA MET")</f>
        <v/>
      </c>
    </row>
    <row r="92">
      <c r="B92" s="16" t="inlineStr">
        <is>
          <t>PTR-2026-10088</t>
        </is>
      </c>
      <c r="C92" s="16" t="inlineStr">
        <is>
          <t>Market 1</t>
        </is>
      </c>
      <c r="D92" s="16" t="inlineStr">
        <is>
          <t>Protocol 3 (Call-in Dispatch)</t>
        </is>
      </c>
      <c r="E92" s="16" t="inlineStr">
        <is>
          <t>Fast Food Burgers</t>
        </is>
      </c>
      <c r="F92" s="16" t="n">
        <v>6</v>
      </c>
      <c r="G92" s="19" t="n">
        <v>22.8</v>
      </c>
      <c r="H92" s="19" t="n">
        <v>14.9</v>
      </c>
      <c r="I92" s="19" t="n">
        <v>14.3</v>
      </c>
      <c r="J92" s="19">
        <f>G92+H92+I92</f>
        <v/>
      </c>
      <c r="K92" s="19" t="n">
        <v>32</v>
      </c>
      <c r="L92" s="19">
        <f>J92-K92</f>
        <v/>
      </c>
      <c r="M92" s="16">
        <f>IF(L92&gt;15, "BREACH", "SLA MET")</f>
        <v/>
      </c>
    </row>
    <row r="93">
      <c r="B93" s="16" t="inlineStr">
        <is>
          <t>PTR-2026-10089</t>
        </is>
      </c>
      <c r="C93" s="16" t="inlineStr">
        <is>
          <t>Market 3</t>
        </is>
      </c>
      <c r="D93" s="16" t="inlineStr">
        <is>
          <t>Protocol 4 (Manual Tablet)</t>
        </is>
      </c>
      <c r="E93" s="16" t="inlineStr">
        <is>
          <t>Indian Curries &amp; Biryani</t>
        </is>
      </c>
      <c r="F93" s="16" t="n">
        <v>4</v>
      </c>
      <c r="G93" s="19" t="n">
        <v>29.1</v>
      </c>
      <c r="H93" s="19" t="n">
        <v>16</v>
      </c>
      <c r="I93" s="19" t="n">
        <v>11.9</v>
      </c>
      <c r="J93" s="19">
        <f>G93+H93+I93</f>
        <v/>
      </c>
      <c r="K93" s="19" t="n">
        <v>32</v>
      </c>
      <c r="L93" s="19">
        <f>J93-K93</f>
        <v/>
      </c>
      <c r="M93" s="16">
        <f>IF(L93&gt;15, "BREACH", "SLA MET")</f>
        <v/>
      </c>
    </row>
    <row r="94">
      <c r="B94" s="16" t="inlineStr">
        <is>
          <t>PTR-2026-10090</t>
        </is>
      </c>
      <c r="C94" s="16" t="inlineStr">
        <is>
          <t>Market 1</t>
        </is>
      </c>
      <c r="D94" s="16" t="inlineStr">
        <is>
          <t>Protocol 3 (Call-in Dispatch)</t>
        </is>
      </c>
      <c r="E94" s="16" t="inlineStr">
        <is>
          <t>Fast Food Burgers</t>
        </is>
      </c>
      <c r="F94" s="16" t="n">
        <v>5</v>
      </c>
      <c r="G94" s="19" t="n">
        <v>28.5</v>
      </c>
      <c r="H94" s="19" t="n">
        <v>14.9</v>
      </c>
      <c r="I94" s="19" t="n">
        <v>8.800000000000001</v>
      </c>
      <c r="J94" s="19">
        <f>G94+H94+I94</f>
        <v/>
      </c>
      <c r="K94" s="19" t="n">
        <v>32</v>
      </c>
      <c r="L94" s="19">
        <f>J94-K94</f>
        <v/>
      </c>
      <c r="M94" s="16">
        <f>IF(L94&gt;15, "BREACH", "SLA MET")</f>
        <v/>
      </c>
    </row>
    <row r="95">
      <c r="B95" s="16" t="inlineStr">
        <is>
          <t>PTR-2026-10091</t>
        </is>
      </c>
      <c r="C95" s="16" t="inlineStr">
        <is>
          <t>Market 4</t>
        </is>
      </c>
      <c r="D95" s="16" t="inlineStr">
        <is>
          <t>Protocol 4 (Manual Tablet)</t>
        </is>
      </c>
      <c r="E95" s="16" t="inlineStr">
        <is>
          <t>Italian / Artisanal Pizza</t>
        </is>
      </c>
      <c r="F95" s="16" t="n">
        <v>5</v>
      </c>
      <c r="G95" s="19" t="n">
        <v>32.8</v>
      </c>
      <c r="H95" s="19" t="n">
        <v>18.8</v>
      </c>
      <c r="I95" s="19" t="n">
        <v>14.9</v>
      </c>
      <c r="J95" s="19">
        <f>G95+H95+I95</f>
        <v/>
      </c>
      <c r="K95" s="19" t="n">
        <v>32</v>
      </c>
      <c r="L95" s="19">
        <f>J95-K95</f>
        <v/>
      </c>
      <c r="M95" s="16">
        <f>IF(L95&gt;15, "BREACH", "SLA MET")</f>
        <v/>
      </c>
    </row>
    <row r="96">
      <c r="B96" s="16" t="inlineStr">
        <is>
          <t>PTR-2026-10092</t>
        </is>
      </c>
      <c r="C96" s="16" t="inlineStr">
        <is>
          <t>Market 3</t>
        </is>
      </c>
      <c r="D96" s="16" t="inlineStr">
        <is>
          <t>Protocol 3 (Call-in Dispatch)</t>
        </is>
      </c>
      <c r="E96" s="16" t="inlineStr">
        <is>
          <t>Italian / Artisanal Pizza</t>
        </is>
      </c>
      <c r="F96" s="16" t="n">
        <v>7</v>
      </c>
      <c r="G96" s="19" t="n">
        <v>25.4</v>
      </c>
      <c r="H96" s="19" t="n">
        <v>22.1</v>
      </c>
      <c r="I96" s="19" t="n">
        <v>6.6</v>
      </c>
      <c r="J96" s="19">
        <f>G96+H96+I96</f>
        <v/>
      </c>
      <c r="K96" s="19" t="n">
        <v>32</v>
      </c>
      <c r="L96" s="19">
        <f>J96-K96</f>
        <v/>
      </c>
      <c r="M96" s="16">
        <f>IF(L96&gt;15, "BREACH", "SLA MET")</f>
        <v/>
      </c>
    </row>
    <row r="97">
      <c r="B97" s="16" t="inlineStr">
        <is>
          <t>PTR-2026-10093</t>
        </is>
      </c>
      <c r="C97" s="16" t="inlineStr">
        <is>
          <t>Market 2</t>
        </is>
      </c>
      <c r="D97" s="16" t="inlineStr">
        <is>
          <t>Protocol 1 (Direct POS)</t>
        </is>
      </c>
      <c r="E97" s="16" t="inlineStr">
        <is>
          <t>Indian Curries &amp; Biryani</t>
        </is>
      </c>
      <c r="F97" s="16" t="n">
        <v>6</v>
      </c>
      <c r="G97" s="19" t="n">
        <v>18.8</v>
      </c>
      <c r="H97" s="19" t="n">
        <v>10.2</v>
      </c>
      <c r="I97" s="19" t="n">
        <v>16.2</v>
      </c>
      <c r="J97" s="19">
        <f>G97+H97+I97</f>
        <v/>
      </c>
      <c r="K97" s="19" t="n">
        <v>32</v>
      </c>
      <c r="L97" s="19">
        <f>J97-K97</f>
        <v/>
      </c>
      <c r="M97" s="16">
        <f>IF(L97&gt;15, "BREACH", "SLA MET")</f>
        <v/>
      </c>
    </row>
    <row r="98">
      <c r="B98" s="16" t="inlineStr">
        <is>
          <t>PTR-2026-10094</t>
        </is>
      </c>
      <c r="C98" s="16" t="inlineStr">
        <is>
          <t>Market 1</t>
        </is>
      </c>
      <c r="D98" s="16" t="inlineStr">
        <is>
          <t>Protocol 1 (Direct POS)</t>
        </is>
      </c>
      <c r="E98" s="16" t="inlineStr">
        <is>
          <t>Asian / Chinese</t>
        </is>
      </c>
      <c r="F98" s="16" t="n">
        <v>1</v>
      </c>
      <c r="G98" s="19" t="n">
        <v>14.4</v>
      </c>
      <c r="H98" s="19" t="n">
        <v>8.9</v>
      </c>
      <c r="I98" s="19" t="n">
        <v>10.7</v>
      </c>
      <c r="J98" s="19">
        <f>G98+H98+I98</f>
        <v/>
      </c>
      <c r="K98" s="19" t="n">
        <v>32</v>
      </c>
      <c r="L98" s="19">
        <f>J98-K98</f>
        <v/>
      </c>
      <c r="M98" s="16">
        <f>IF(L98&gt;15, "BREACH", "SLA MET")</f>
        <v/>
      </c>
    </row>
    <row r="99">
      <c r="B99" s="16" t="inlineStr">
        <is>
          <t>PTR-2026-10095</t>
        </is>
      </c>
      <c r="C99" s="16" t="inlineStr">
        <is>
          <t>Market 1</t>
        </is>
      </c>
      <c r="D99" s="16" t="inlineStr">
        <is>
          <t>Protocol 1 (Direct POS)</t>
        </is>
      </c>
      <c r="E99" s="16" t="inlineStr">
        <is>
          <t>Italian / Artisanal Pizza</t>
        </is>
      </c>
      <c r="F99" s="16" t="n">
        <v>5</v>
      </c>
      <c r="G99" s="19" t="n">
        <v>29.7</v>
      </c>
      <c r="H99" s="19" t="n">
        <v>3.8</v>
      </c>
      <c r="I99" s="19" t="n">
        <v>10.7</v>
      </c>
      <c r="J99" s="19">
        <f>G99+H99+I99</f>
        <v/>
      </c>
      <c r="K99" s="19" t="n">
        <v>32</v>
      </c>
      <c r="L99" s="19">
        <f>J99-K99</f>
        <v/>
      </c>
      <c r="M99" s="16">
        <f>IF(L99&gt;15, "BREACH", "SLA MET")</f>
        <v/>
      </c>
    </row>
    <row r="100">
      <c r="B100" s="16" t="inlineStr">
        <is>
          <t>PTR-2026-10096</t>
        </is>
      </c>
      <c r="C100" s="16" t="inlineStr">
        <is>
          <t>Market 1</t>
        </is>
      </c>
      <c r="D100" s="16" t="inlineStr">
        <is>
          <t>Protocol 4 (Manual Tablet)</t>
        </is>
      </c>
      <c r="E100" s="16" t="inlineStr">
        <is>
          <t>Italian / Artisanal Pizza</t>
        </is>
      </c>
      <c r="F100" s="16" t="n">
        <v>6</v>
      </c>
      <c r="G100" s="19" t="n">
        <v>25.1</v>
      </c>
      <c r="H100" s="19" t="n">
        <v>20.1</v>
      </c>
      <c r="I100" s="19" t="n">
        <v>9.4</v>
      </c>
      <c r="J100" s="19">
        <f>G100+H100+I100</f>
        <v/>
      </c>
      <c r="K100" s="19" t="n">
        <v>32</v>
      </c>
      <c r="L100" s="19">
        <f>J100-K100</f>
        <v/>
      </c>
      <c r="M100" s="16">
        <f>IF(L100&gt;15, "BREACH", "SLA MET")</f>
        <v/>
      </c>
    </row>
    <row r="101">
      <c r="B101" s="16" t="inlineStr">
        <is>
          <t>PTR-2026-10097</t>
        </is>
      </c>
      <c r="C101" s="16" t="inlineStr">
        <is>
          <t>Market 2</t>
        </is>
      </c>
      <c r="D101" s="16" t="inlineStr">
        <is>
          <t>Protocol 1 (Direct POS)</t>
        </is>
      </c>
      <c r="E101" s="16" t="inlineStr">
        <is>
          <t>Salads &amp; Bowls</t>
        </is>
      </c>
      <c r="F101" s="16" t="n">
        <v>5</v>
      </c>
      <c r="G101" s="19" t="n">
        <v>29.8</v>
      </c>
      <c r="H101" s="19" t="n">
        <v>10</v>
      </c>
      <c r="I101" s="19" t="n">
        <v>14.2</v>
      </c>
      <c r="J101" s="19">
        <f>G101+H101+I101</f>
        <v/>
      </c>
      <c r="K101" s="19" t="n">
        <v>32</v>
      </c>
      <c r="L101" s="19">
        <f>J101-K101</f>
        <v/>
      </c>
      <c r="M101" s="16">
        <f>IF(L101&gt;15, "BREACH", "SLA MET")</f>
        <v/>
      </c>
    </row>
    <row r="102">
      <c r="B102" s="16" t="inlineStr">
        <is>
          <t>PTR-2026-10098</t>
        </is>
      </c>
      <c r="C102" s="16" t="inlineStr">
        <is>
          <t>Market 2</t>
        </is>
      </c>
      <c r="D102" s="16" t="inlineStr">
        <is>
          <t>Protocol 1 (Direct POS)</t>
        </is>
      </c>
      <c r="E102" s="16" t="inlineStr">
        <is>
          <t>Fast Food Burgers</t>
        </is>
      </c>
      <c r="F102" s="16" t="n">
        <v>6</v>
      </c>
      <c r="G102" s="19" t="n">
        <v>33.4</v>
      </c>
      <c r="H102" s="19" t="n">
        <v>6.7</v>
      </c>
      <c r="I102" s="19" t="n">
        <v>15.3</v>
      </c>
      <c r="J102" s="19">
        <f>G102+H102+I102</f>
        <v/>
      </c>
      <c r="K102" s="19" t="n">
        <v>32</v>
      </c>
      <c r="L102" s="19">
        <f>J102-K102</f>
        <v/>
      </c>
      <c r="M102" s="16">
        <f>IF(L102&gt;15, "BREACH", "SLA MET")</f>
        <v/>
      </c>
    </row>
    <row r="103">
      <c r="B103" s="16" t="inlineStr">
        <is>
          <t>PTR-2026-10099</t>
        </is>
      </c>
      <c r="C103" s="16" t="inlineStr">
        <is>
          <t>Market 4</t>
        </is>
      </c>
      <c r="D103" s="16" t="inlineStr">
        <is>
          <t>Protocol 3 (Call-in Dispatch)</t>
        </is>
      </c>
      <c r="E103" s="16" t="inlineStr">
        <is>
          <t>Fast Food Burgers</t>
        </is>
      </c>
      <c r="F103" s="16" t="n">
        <v>4</v>
      </c>
      <c r="G103" s="19" t="n">
        <v>25.9</v>
      </c>
      <c r="H103" s="19" t="n">
        <v>15.3</v>
      </c>
      <c r="I103" s="19" t="n">
        <v>12.1</v>
      </c>
      <c r="J103" s="19">
        <f>G103+H103+I103</f>
        <v/>
      </c>
      <c r="K103" s="19" t="n">
        <v>32</v>
      </c>
      <c r="L103" s="19">
        <f>J103-K103</f>
        <v/>
      </c>
      <c r="M103" s="16">
        <f>IF(L103&gt;15, "BREACH", "SLA MET")</f>
        <v/>
      </c>
    </row>
    <row r="104">
      <c r="B104" s="16" t="inlineStr">
        <is>
          <t>PTR-2026-10100</t>
        </is>
      </c>
      <c r="C104" s="16" t="inlineStr">
        <is>
          <t>Market 2</t>
        </is>
      </c>
      <c r="D104" s="16" t="inlineStr">
        <is>
          <t>Protocol 4 (Manual Tablet)</t>
        </is>
      </c>
      <c r="E104" s="16" t="inlineStr">
        <is>
          <t>Asian / Chinese</t>
        </is>
      </c>
      <c r="F104" s="16" t="n">
        <v>5</v>
      </c>
      <c r="G104" s="19" t="n">
        <v>32.3</v>
      </c>
      <c r="H104" s="19" t="n">
        <v>14.3</v>
      </c>
      <c r="I104" s="19" t="n">
        <v>14.4</v>
      </c>
      <c r="J104" s="19">
        <f>G104+H104+I104</f>
        <v/>
      </c>
      <c r="K104" s="19" t="n">
        <v>32</v>
      </c>
      <c r="L104" s="19">
        <f>J104-K104</f>
        <v/>
      </c>
      <c r="M104" s="16">
        <f>IF(L104&gt;15, "BREACH", "SLA MET")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2026-10-15T03:23:34Z</dcterms:created>
  <dcterms:modified xmlns:dcterms="http://purl.org/dc/terms/" xmlns:xsi="http://www.w3.org/2001/XMLSchema-instance" xsi:type="dcterms:W3CDTF">2026-10-15T03:23:34Z</dcterms:modified>
</cp:coreProperties>
</file>